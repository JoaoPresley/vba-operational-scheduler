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EsteLivro"/>
  <mc:AlternateContent xmlns:mc="http://schemas.openxmlformats.org/markup-compatibility/2006">
    <mc:Choice Requires="x15">
      <x15ac:absPath xmlns:x15ac="http://schemas.microsoft.com/office/spreadsheetml/2010/11/ac" url="C:\Users\user\Documents\Confivel_EXCEL\"/>
    </mc:Choice>
  </mc:AlternateContent>
  <xr:revisionPtr revIDLastSave="0" documentId="13_ncr:1_{9C0865D6-FBC9-4166-8E94-4AAD329AF36F}" xr6:coauthVersionLast="47" xr6:coauthVersionMax="47" xr10:uidLastSave="{00000000-0000-0000-0000-000000000000}"/>
  <bookViews>
    <workbookView xWindow="-108" yWindow="-108" windowWidth="23256" windowHeight="13896" tabRatio="784" activeTab="1" xr2:uid="{00000000-000D-0000-FFFF-FFFF00000000}"/>
  </bookViews>
  <sheets>
    <sheet name="OCGR" sheetId="2" r:id="rId1"/>
    <sheet name="SEMANAL" sheetId="19" r:id="rId2"/>
    <sheet name="OCGR - DIÁRIA" sheetId="17" r:id="rId3"/>
  </sheets>
  <definedNames>
    <definedName name="TECNICO" localSheetId="0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2" l="1"/>
  <c r="J7" i="2"/>
  <c r="K6" i="2"/>
  <c r="J6" i="2"/>
  <c r="C5" i="19" l="1"/>
  <c r="L5" i="19" s="1"/>
  <c r="L7" i="19" s="1"/>
  <c r="L9" i="19" s="1"/>
  <c r="L11" i="19" s="1"/>
  <c r="L13" i="19" s="1"/>
  <c r="L15" i="19" s="1"/>
  <c r="L17" i="19" s="1"/>
  <c r="E44" i="19"/>
  <c r="A44" i="19" s="1"/>
  <c r="E43" i="19"/>
  <c r="A43" i="19" s="1"/>
  <c r="E40" i="19"/>
  <c r="A40" i="19" s="1"/>
  <c r="E39" i="19"/>
  <c r="A39" i="19" s="1"/>
  <c r="C36" i="19"/>
  <c r="E36" i="19" s="1"/>
  <c r="A36" i="19" s="1"/>
  <c r="C35" i="19"/>
  <c r="E35" i="19" s="1"/>
  <c r="A35" i="19" s="1"/>
  <c r="C31" i="19"/>
  <c r="E31" i="19" s="1"/>
  <c r="A31" i="19" s="1"/>
  <c r="C30" i="19"/>
  <c r="E30" i="19" s="1"/>
  <c r="A30" i="19" s="1"/>
  <c r="W3" i="19" l="1"/>
  <c r="I3" i="19"/>
  <c r="Y3" i="19"/>
  <c r="O3" i="19"/>
  <c r="P3" i="19"/>
  <c r="Q3" i="19"/>
  <c r="H3" i="19"/>
  <c r="X3" i="19"/>
  <c r="N3" i="19"/>
  <c r="F27" i="19"/>
  <c r="E3" i="19"/>
  <c r="F3" i="19"/>
  <c r="G3" i="19"/>
  <c r="R3" i="19"/>
  <c r="Z3" i="19"/>
  <c r="AA3" i="19"/>
  <c r="C7" i="19"/>
  <c r="C9" i="19" s="1"/>
  <c r="C11" i="19" s="1"/>
  <c r="C13" i="19" s="1"/>
  <c r="C15" i="19" s="1"/>
  <c r="C17" i="19" s="1"/>
  <c r="U5" i="19"/>
  <c r="U7" i="19" s="1"/>
  <c r="U9" i="19" s="1"/>
  <c r="U11" i="19" s="1"/>
  <c r="U13" i="19" s="1"/>
  <c r="U15" i="19" s="1"/>
  <c r="U17" i="19" s="1"/>
  <c r="F2" i="17"/>
  <c r="C21" i="17" s="1"/>
  <c r="K41" i="2"/>
  <c r="B32" i="17"/>
  <c r="C32" i="17" s="1"/>
  <c r="C28" i="17"/>
  <c r="B28" i="17" s="1"/>
  <c r="O4" i="2"/>
  <c r="Q4" i="2" s="1"/>
  <c r="C19" i="17" l="1"/>
  <c r="C20" i="17"/>
  <c r="C18" i="17"/>
  <c r="S4" i="2"/>
  <c r="U4" i="2" s="1"/>
  <c r="W4" i="2" s="1"/>
  <c r="Y4" i="2" s="1"/>
  <c r="B31" i="17"/>
  <c r="B30" i="17"/>
  <c r="B29" i="17"/>
  <c r="C31" i="17"/>
  <c r="C30" i="17"/>
  <c r="C29" i="17"/>
  <c r="G2" i="17" l="1"/>
</calcChain>
</file>

<file path=xl/sharedStrings.xml><?xml version="1.0" encoding="utf-8"?>
<sst xmlns="http://schemas.openxmlformats.org/spreadsheetml/2006/main" count="427" uniqueCount="106">
  <si>
    <t>TOM Operação</t>
  </si>
  <si>
    <t>PROGRAMAÇÃO SEMANAL DE ATIVIDADES  - OCGR</t>
  </si>
  <si>
    <t>RDS</t>
  </si>
  <si>
    <t>Leit</t>
  </si>
  <si>
    <t>Gaseif</t>
  </si>
  <si>
    <t>Insp1</t>
  </si>
  <si>
    <t>Insp2</t>
  </si>
  <si>
    <t>C</t>
  </si>
  <si>
    <t>TIPO DE SERVIÇO</t>
  </si>
  <si>
    <t>seg</t>
  </si>
  <si>
    <t>ter</t>
  </si>
  <si>
    <t>qua</t>
  </si>
  <si>
    <t>qui</t>
  </si>
  <si>
    <t>sex</t>
  </si>
  <si>
    <t>sáb</t>
  </si>
  <si>
    <t>dom</t>
  </si>
  <si>
    <t>P</t>
  </si>
  <si>
    <t>Patrulha</t>
  </si>
  <si>
    <t>Acomp</t>
  </si>
  <si>
    <t>"+1"</t>
  </si>
  <si>
    <t>OCGR</t>
  </si>
  <si>
    <t>TOM 1</t>
  </si>
  <si>
    <t>TOM  2</t>
  </si>
  <si>
    <t>MANHÃ</t>
  </si>
  <si>
    <t>TARDE</t>
  </si>
  <si>
    <t>OUTROS</t>
  </si>
  <si>
    <t>Troca de plantão 0800 - Vermelho</t>
  </si>
  <si>
    <t>Troca de plantão 0800 - Laranja</t>
  </si>
  <si>
    <t>GASEIF</t>
  </si>
  <si>
    <t>PT - Caso tenha</t>
  </si>
  <si>
    <t>Inspeção das estações - Rota Central</t>
  </si>
  <si>
    <t>PT:</t>
  </si>
  <si>
    <t>OS Abortada</t>
  </si>
  <si>
    <t>Inspeção das estações - Rota Periférica</t>
  </si>
  <si>
    <t>OS Reprogramada</t>
  </si>
  <si>
    <t>OS devolvida</t>
  </si>
  <si>
    <t>OS devolvida serviço continuará</t>
  </si>
  <si>
    <t>SÁBADO</t>
  </si>
  <si>
    <t>Inspeção das estações - rota sabatina</t>
  </si>
  <si>
    <t>Inspeção caixa de válvula</t>
  </si>
  <si>
    <t>Inspeções</t>
  </si>
  <si>
    <t>Inspeção do retificador</t>
  </si>
  <si>
    <t>Inspeção caixa de válvula -</t>
  </si>
  <si>
    <t xml:space="preserve">Inspeção completa - </t>
  </si>
  <si>
    <t>Acompanhamentos</t>
  </si>
  <si>
    <t>Folga</t>
  </si>
  <si>
    <t>Gustavo</t>
  </si>
  <si>
    <t>Folga - Escala de sábado</t>
  </si>
  <si>
    <t>-</t>
  </si>
  <si>
    <t>Sobr.</t>
  </si>
  <si>
    <t>SOBREAVISO 1 conf. Escala revezamento</t>
  </si>
  <si>
    <t>E</t>
  </si>
  <si>
    <t>B</t>
  </si>
  <si>
    <t>SOBREAVISO 2 conf. Escala revezamento</t>
  </si>
  <si>
    <t>A</t>
  </si>
  <si>
    <t>Tecnicos com serviço alocado</t>
  </si>
  <si>
    <t>Fernando</t>
  </si>
  <si>
    <t>Ademir</t>
  </si>
  <si>
    <t>Gabriel</t>
  </si>
  <si>
    <t>Elvis</t>
  </si>
  <si>
    <t>Folga - Escala sábado</t>
  </si>
  <si>
    <t>Passar plantão - Vermelho</t>
  </si>
  <si>
    <t>Passar plantão - Laranja</t>
  </si>
  <si>
    <t>Ramal 14</t>
  </si>
  <si>
    <t>Ramal ELD</t>
  </si>
  <si>
    <t>Sábado</t>
  </si>
  <si>
    <t>Folga - RDS sábado</t>
  </si>
  <si>
    <t>OPERAÇÃO</t>
  </si>
  <si>
    <t>Manutenção</t>
  </si>
  <si>
    <t>Plantão</t>
  </si>
  <si>
    <t>Operação</t>
  </si>
  <si>
    <t>Três Lagoas</t>
  </si>
  <si>
    <t>Técnico</t>
  </si>
  <si>
    <t>Segunda</t>
  </si>
  <si>
    <t>Manhã</t>
  </si>
  <si>
    <t>A definir</t>
  </si>
  <si>
    <t>Tarde</t>
  </si>
  <si>
    <t>Terça</t>
  </si>
  <si>
    <t>Quarta</t>
  </si>
  <si>
    <t>Quinta</t>
  </si>
  <si>
    <t>Sexta</t>
  </si>
  <si>
    <t>Domingo</t>
  </si>
  <si>
    <t>Escala</t>
  </si>
  <si>
    <t>nome</t>
  </si>
  <si>
    <t>Vermelha DEIXARÁ</t>
  </si>
  <si>
    <t>Laranja DEIXARÁ</t>
  </si>
  <si>
    <t>Vermelha PEGARÁ</t>
  </si>
  <si>
    <t>Laranja PEGARÁ</t>
  </si>
  <si>
    <t>Data:</t>
  </si>
  <si>
    <t>Técnicos</t>
  </si>
  <si>
    <t>OS</t>
  </si>
  <si>
    <t>Objeto Descrição</t>
  </si>
  <si>
    <t>Diretriz</t>
  </si>
  <si>
    <t>Status</t>
  </si>
  <si>
    <t>Ramal 14 + Recarga de Odorante</t>
  </si>
  <si>
    <t>PROGRAMAÇÃO SEMANAL - MANUTENÇÃO - 11/05/2026 A 16/05/2026</t>
  </si>
  <si>
    <t>PROGRAMAÇÃO SEMANAL - OPERAÇÃO - 11/05/2026 A 16/05/2026</t>
  </si>
  <si>
    <t>PROGRAMAÇÃO SEMANAL - TRÊS LAGOAS - 11/05/2026 A 16/05/2026</t>
  </si>
  <si>
    <t>Tom 1</t>
  </si>
  <si>
    <t>Tom 4</t>
  </si>
  <si>
    <t>Tom 3</t>
  </si>
  <si>
    <t>Tom 2</t>
  </si>
  <si>
    <t>Inspeção</t>
  </si>
  <si>
    <t>Tom2</t>
  </si>
  <si>
    <t>Tom4</t>
  </si>
  <si>
    <t>Tom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</si>
</sst>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22"/>
      <name val="Arial"/>
      <family val="2"/>
    </font>
    <font>
      <b/>
      <sz val="12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20"/>
      <name val="Arial"/>
      <family val="2"/>
    </font>
    <font>
      <b/>
      <sz val="10"/>
      <color rgb="FFFF0000"/>
      <name val="Arial"/>
      <family val="2"/>
    </font>
    <font>
      <b/>
      <sz val="18"/>
      <name val="Arial"/>
      <family val="2"/>
    </font>
    <font>
      <b/>
      <sz val="12"/>
      <color rgb="FFFF0000"/>
      <name val="Arial"/>
      <family val="2"/>
    </font>
    <font>
      <sz val="10"/>
      <name val="Arial"/>
      <family val="2"/>
    </font>
    <font>
      <b/>
      <sz val="12"/>
      <color theme="5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4" tint="0.7999816888943144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D9E1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color rgb="FFD9E1F2"/>
      <name val="Calibri"/>
      <family val="2"/>
      <scheme val="minor"/>
    </font>
    <font>
      <sz val="8"/>
      <color rgb="FFA6A6A6"/>
      <name val="Calibri"/>
      <family val="2"/>
      <scheme val="minor"/>
    </font>
    <font>
      <b/>
      <sz val="12"/>
      <color rgb="FFFF6600"/>
      <name val="Arial"/>
      <family val="2"/>
    </font>
    <font>
      <b/>
      <sz val="12"/>
      <color rgb="FF548235"/>
      <name val="Arial"/>
      <family val="2"/>
    </font>
    <font>
      <b/>
      <sz val="12"/>
      <color rgb="FF70AD47"/>
      <name val="Arial"/>
      <family val="2"/>
    </font>
    <font>
      <b/>
      <sz val="12"/>
      <color rgb="FF44546A"/>
      <name val="Arial"/>
      <family val="2"/>
    </font>
    <font>
      <sz val="20"/>
      <color theme="1"/>
      <name val="Calibri"/>
      <family val="2"/>
      <scheme val="minor"/>
    </font>
    <font>
      <sz val="20"/>
      <color rgb="FF000000"/>
      <name val="Aptos Narrow"/>
      <family val="2"/>
    </font>
    <font>
      <sz val="20"/>
      <color rgb="FF000000"/>
      <name val="Aptos Narrow"/>
      <charset val="1"/>
    </font>
    <font>
      <u/>
      <sz val="11"/>
      <color theme="1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u/>
      <sz val="12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D7FFC9"/>
        <bgColor indexed="64"/>
      </patternFill>
    </fill>
    <fill>
      <patternFill patternType="solid">
        <fgColor rgb="FFD5E2FF"/>
        <bgColor indexed="64"/>
      </patternFill>
    </fill>
  </fills>
  <borders count="1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rgb="FF000000"/>
      </left>
      <right style="dotted">
        <color rgb="FF000000"/>
      </right>
      <top style="dotted">
        <color indexed="64"/>
      </top>
      <bottom style="dotted">
        <color indexed="64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rgb="FF000000"/>
      </right>
      <top/>
      <bottom style="dotted">
        <color indexed="64"/>
      </bottom>
      <diagonal/>
    </border>
    <border>
      <left/>
      <right style="dotted">
        <color rgb="FF000000"/>
      </right>
      <top style="dotted">
        <color indexed="64"/>
      </top>
      <bottom style="dotted">
        <color indexed="64"/>
      </bottom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dotted">
        <color indexed="64"/>
      </right>
      <top/>
      <bottom/>
      <diagonal/>
    </border>
    <border>
      <left style="dotted">
        <color rgb="FF000000"/>
      </left>
      <right/>
      <top/>
      <bottom/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/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medium">
        <color rgb="FF000000"/>
      </right>
      <top style="double">
        <color rgb="FF000000"/>
      </top>
      <bottom/>
      <diagonal/>
    </border>
    <border>
      <left/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double">
        <color rgb="FF000000"/>
      </top>
      <bottom/>
      <diagonal/>
    </border>
    <border>
      <left style="medium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double">
        <color rgb="FF000000"/>
      </right>
      <top style="medium">
        <color rgb="FF000000"/>
      </top>
      <bottom/>
      <diagonal/>
    </border>
    <border>
      <left/>
      <right style="double">
        <color rgb="FF000000"/>
      </right>
      <top style="medium">
        <color rgb="FF000000"/>
      </top>
      <bottom/>
      <diagonal/>
    </border>
    <border>
      <left style="double">
        <color rgb="FF000000"/>
      </left>
      <right/>
      <top/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thin">
        <color rgb="FF000000"/>
      </bottom>
      <diagonal/>
    </border>
    <border>
      <left style="double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dashed">
        <color rgb="FF000000"/>
      </left>
      <right/>
      <top/>
      <bottom style="dashed">
        <color rgb="FF000000"/>
      </bottom>
      <diagonal/>
    </border>
    <border>
      <left/>
      <right/>
      <top/>
      <bottom style="dashed">
        <color rgb="FF000000"/>
      </bottom>
      <diagonal/>
    </border>
    <border>
      <left/>
      <right style="dashed">
        <color rgb="FF000000"/>
      </right>
      <top/>
      <bottom style="dashed">
        <color rgb="FF000000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ck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</borders>
  <cellStyleXfs count="3">
    <xf numFmtId="0" fontId="0" fillId="0" borderId="0"/>
    <xf numFmtId="0" fontId="13" fillId="0" borderId="0"/>
    <xf numFmtId="0" fontId="16" fillId="0" borderId="0"/>
  </cellStyleXfs>
  <cellXfs count="344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0" borderId="0" xfId="0" applyFont="1"/>
    <xf numFmtId="0" fontId="2" fillId="0" borderId="1" xfId="0" applyFont="1" applyBorder="1"/>
    <xf numFmtId="0" fontId="3" fillId="0" borderId="1" xfId="0" applyFont="1" applyBorder="1"/>
    <xf numFmtId="0" fontId="2" fillId="0" borderId="3" xfId="0" applyFont="1" applyBorder="1"/>
    <xf numFmtId="0" fontId="4" fillId="0" borderId="1" xfId="0" applyFont="1" applyBorder="1"/>
    <xf numFmtId="0" fontId="6" fillId="0" borderId="1" xfId="0" applyFont="1" applyBorder="1"/>
    <xf numFmtId="0" fontId="2" fillId="0" borderId="9" xfId="0" applyFont="1" applyBorder="1" applyAlignment="1">
      <alignment horizontal="center" vertical="center"/>
    </xf>
    <xf numFmtId="0" fontId="10" fillId="0" borderId="0" xfId="0" applyFont="1"/>
    <xf numFmtId="0" fontId="4" fillId="0" borderId="0" xfId="0" applyFont="1"/>
    <xf numFmtId="0" fontId="12" fillId="0" borderId="1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0" xfId="0" applyFont="1" applyFill="1"/>
    <xf numFmtId="0" fontId="4" fillId="0" borderId="0" xfId="0" applyFont="1" applyAlignment="1">
      <alignment horizontal="left" vertical="top" wrapText="1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wrapText="1"/>
    </xf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4" borderId="43" xfId="0" applyFill="1" applyBorder="1"/>
    <xf numFmtId="0" fontId="17" fillId="5" borderId="0" xfId="0" applyFont="1" applyFill="1"/>
    <xf numFmtId="0" fontId="17" fillId="0" borderId="0" xfId="0" applyFont="1"/>
    <xf numFmtId="0" fontId="18" fillId="8" borderId="0" xfId="0" applyFont="1" applyFill="1"/>
    <xf numFmtId="0" fontId="18" fillId="8" borderId="0" xfId="0" applyFont="1" applyFill="1" applyAlignment="1">
      <alignment horizontal="center"/>
    </xf>
    <xf numFmtId="0" fontId="21" fillId="7" borderId="20" xfId="0" applyFont="1" applyFill="1" applyBorder="1" applyAlignment="1">
      <alignment horizontal="center"/>
    </xf>
    <xf numFmtId="0" fontId="22" fillId="7" borderId="20" xfId="0" applyFont="1" applyFill="1" applyBorder="1" applyAlignment="1">
      <alignment horizontal="right"/>
    </xf>
    <xf numFmtId="14" fontId="23" fillId="7" borderId="7" xfId="0" applyNumberFormat="1" applyFont="1" applyFill="1" applyBorder="1"/>
    <xf numFmtId="0" fontId="21" fillId="7" borderId="32" xfId="0" applyFont="1" applyFill="1" applyBorder="1" applyAlignment="1">
      <alignment horizontal="center" vertical="center"/>
    </xf>
    <xf numFmtId="0" fontId="21" fillId="7" borderId="32" xfId="0" applyFont="1" applyFill="1" applyBorder="1"/>
    <xf numFmtId="0" fontId="21" fillId="7" borderId="52" xfId="0" applyFont="1" applyFill="1" applyBorder="1" applyAlignment="1">
      <alignment horizontal="center"/>
    </xf>
    <xf numFmtId="0" fontId="20" fillId="8" borderId="0" xfId="0" applyFont="1" applyFill="1" applyAlignment="1">
      <alignment horizontal="center"/>
    </xf>
    <xf numFmtId="0" fontId="24" fillId="8" borderId="0" xfId="0" applyFont="1" applyFill="1" applyAlignment="1">
      <alignment horizontal="left"/>
    </xf>
    <xf numFmtId="0" fontId="18" fillId="7" borderId="39" xfId="0" applyFont="1" applyFill="1" applyBorder="1" applyAlignment="1">
      <alignment horizontal="center" wrapText="1"/>
    </xf>
    <xf numFmtId="0" fontId="18" fillId="7" borderId="39" xfId="0" applyFont="1" applyFill="1" applyBorder="1" applyAlignment="1">
      <alignment horizontal="center"/>
    </xf>
    <xf numFmtId="0" fontId="18" fillId="7" borderId="40" xfId="0" applyFont="1" applyFill="1" applyBorder="1" applyAlignment="1">
      <alignment horizontal="center" wrapText="1"/>
    </xf>
    <xf numFmtId="0" fontId="18" fillId="7" borderId="40" xfId="0" applyFont="1" applyFill="1" applyBorder="1" applyAlignment="1">
      <alignment horizontal="center"/>
    </xf>
    <xf numFmtId="0" fontId="21" fillId="8" borderId="25" xfId="0" applyFont="1" applyFill="1" applyBorder="1"/>
    <xf numFmtId="0" fontId="18" fillId="8" borderId="7" xfId="0" applyFont="1" applyFill="1" applyBorder="1"/>
    <xf numFmtId="0" fontId="18" fillId="8" borderId="44" xfId="0" applyFont="1" applyFill="1" applyBorder="1"/>
    <xf numFmtId="0" fontId="25" fillId="8" borderId="0" xfId="0" applyFont="1" applyFill="1" applyAlignment="1">
      <alignment horizontal="center"/>
    </xf>
    <xf numFmtId="0" fontId="18" fillId="8" borderId="45" xfId="0" applyFont="1" applyFill="1" applyBorder="1"/>
    <xf numFmtId="0" fontId="18" fillId="8" borderId="46" xfId="0" applyFont="1" applyFill="1" applyBorder="1"/>
    <xf numFmtId="0" fontId="26" fillId="8" borderId="0" xfId="0" applyFont="1" applyFill="1" applyAlignment="1">
      <alignment horizontal="right"/>
    </xf>
    <xf numFmtId="0" fontId="27" fillId="8" borderId="0" xfId="0" applyFont="1" applyFill="1"/>
    <xf numFmtId="0" fontId="27" fillId="8" borderId="0" xfId="0" applyFont="1" applyFill="1" applyAlignment="1">
      <alignment horizontal="left"/>
    </xf>
    <xf numFmtId="0" fontId="15" fillId="7" borderId="39" xfId="0" applyFont="1" applyFill="1" applyBorder="1" applyAlignment="1">
      <alignment horizontal="center" wrapText="1"/>
    </xf>
    <xf numFmtId="0" fontId="15" fillId="7" borderId="39" xfId="0" applyFont="1" applyFill="1" applyBorder="1" applyAlignment="1">
      <alignment horizontal="center"/>
    </xf>
    <xf numFmtId="0" fontId="15" fillId="7" borderId="40" xfId="0" applyFont="1" applyFill="1" applyBorder="1" applyAlignment="1">
      <alignment horizontal="center" wrapText="1"/>
    </xf>
    <xf numFmtId="0" fontId="15" fillId="7" borderId="40" xfId="0" applyFont="1" applyFill="1" applyBorder="1" applyAlignment="1">
      <alignment horizontal="center"/>
    </xf>
    <xf numFmtId="0" fontId="20" fillId="8" borderId="0" xfId="0" applyFont="1" applyFill="1"/>
    <xf numFmtId="0" fontId="18" fillId="0" borderId="0" xfId="0" applyFont="1"/>
    <xf numFmtId="0" fontId="18" fillId="0" borderId="1" xfId="0" applyFont="1" applyBorder="1"/>
    <xf numFmtId="0" fontId="18" fillId="7" borderId="0" xfId="0" applyFont="1" applyFill="1"/>
    <xf numFmtId="0" fontId="6" fillId="0" borderId="0" xfId="0" applyFont="1"/>
    <xf numFmtId="0" fontId="2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2" fillId="7" borderId="0" xfId="0" applyFont="1" applyFill="1"/>
    <xf numFmtId="0" fontId="6" fillId="9" borderId="0" xfId="0" applyFont="1" applyFill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justify" vertical="center"/>
    </xf>
    <xf numFmtId="0" fontId="6" fillId="7" borderId="10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7" borderId="24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0" fontId="6" fillId="11" borderId="16" xfId="0" applyFont="1" applyFill="1" applyBorder="1" applyAlignment="1">
      <alignment horizontal="center" vertical="center"/>
    </xf>
    <xf numFmtId="0" fontId="6" fillId="12" borderId="15" xfId="0" applyFont="1" applyFill="1" applyBorder="1" applyAlignment="1">
      <alignment horizontal="center" vertical="center"/>
    </xf>
    <xf numFmtId="0" fontId="6" fillId="12" borderId="16" xfId="0" applyFont="1" applyFill="1" applyBorder="1" applyAlignment="1">
      <alignment horizontal="center" vertical="center"/>
    </xf>
    <xf numFmtId="0" fontId="6" fillId="7" borderId="26" xfId="0" applyFont="1" applyFill="1" applyBorder="1" applyAlignment="1">
      <alignment horizontal="center" vertical="center"/>
    </xf>
    <xf numFmtId="0" fontId="18" fillId="15" borderId="0" xfId="0" applyFont="1" applyFill="1"/>
    <xf numFmtId="0" fontId="18" fillId="16" borderId="0" xfId="0" applyFont="1" applyFill="1"/>
    <xf numFmtId="0" fontId="18" fillId="17" borderId="0" xfId="0" applyFont="1" applyFill="1"/>
    <xf numFmtId="0" fontId="18" fillId="18" borderId="0" xfId="0" applyFont="1" applyFill="1"/>
    <xf numFmtId="0" fontId="6" fillId="11" borderId="22" xfId="0" applyFont="1" applyFill="1" applyBorder="1" applyAlignment="1">
      <alignment horizontal="center" vertical="center"/>
    </xf>
    <xf numFmtId="0" fontId="6" fillId="11" borderId="23" xfId="0" applyFont="1" applyFill="1" applyBorder="1" applyAlignment="1">
      <alignment horizontal="center" vertical="center"/>
    </xf>
    <xf numFmtId="0" fontId="6" fillId="12" borderId="22" xfId="0" applyFont="1" applyFill="1" applyBorder="1" applyAlignment="1">
      <alignment horizontal="center" vertical="center"/>
    </xf>
    <xf numFmtId="0" fontId="6" fillId="12" borderId="23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 vertical="center"/>
    </xf>
    <xf numFmtId="0" fontId="12" fillId="11" borderId="11" xfId="0" applyFont="1" applyFill="1" applyBorder="1" applyAlignment="1">
      <alignment horizontal="center" vertical="center"/>
    </xf>
    <xf numFmtId="0" fontId="12" fillId="12" borderId="10" xfId="0" applyFont="1" applyFill="1" applyBorder="1" applyAlignment="1">
      <alignment horizontal="center" vertical="center"/>
    </xf>
    <xf numFmtId="0" fontId="12" fillId="12" borderId="11" xfId="0" applyFont="1" applyFill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 textRotation="90" wrapText="1"/>
    </xf>
    <xf numFmtId="0" fontId="28" fillId="7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 vertical="center"/>
    </xf>
    <xf numFmtId="0" fontId="28" fillId="7" borderId="36" xfId="0" applyFont="1" applyFill="1" applyBorder="1" applyAlignment="1">
      <alignment horizontal="left" vertical="top" wrapText="1"/>
    </xf>
    <xf numFmtId="0" fontId="6" fillId="7" borderId="6" xfId="0" applyFont="1" applyFill="1" applyBorder="1" applyAlignment="1">
      <alignment horizontal="center" vertical="center"/>
    </xf>
    <xf numFmtId="0" fontId="6" fillId="14" borderId="26" xfId="0" applyFont="1" applyFill="1" applyBorder="1" applyAlignment="1">
      <alignment horizontal="center" vertical="center"/>
    </xf>
    <xf numFmtId="0" fontId="21" fillId="0" borderId="0" xfId="0" applyFont="1"/>
    <xf numFmtId="0" fontId="4" fillId="7" borderId="0" xfId="0" applyFont="1" applyFill="1"/>
    <xf numFmtId="0" fontId="6" fillId="7" borderId="0" xfId="0" applyFont="1" applyFill="1" applyAlignment="1">
      <alignment horizontal="center"/>
    </xf>
    <xf numFmtId="0" fontId="18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7" fillId="0" borderId="8" xfId="0" applyFont="1" applyBorder="1" applyAlignment="1">
      <alignment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18" fillId="8" borderId="54" xfId="0" applyFont="1" applyFill="1" applyBorder="1"/>
    <xf numFmtId="0" fontId="20" fillId="8" borderId="55" xfId="0" applyFont="1" applyFill="1" applyBorder="1"/>
    <xf numFmtId="0" fontId="18" fillId="8" borderId="69" xfId="0" applyFont="1" applyFill="1" applyBorder="1"/>
    <xf numFmtId="0" fontId="18" fillId="8" borderId="70" xfId="0" applyFont="1" applyFill="1" applyBorder="1"/>
    <xf numFmtId="0" fontId="18" fillId="8" borderId="39" xfId="0" applyFont="1" applyFill="1" applyBorder="1"/>
    <xf numFmtId="0" fontId="18" fillId="8" borderId="71" xfId="0" applyFont="1" applyFill="1" applyBorder="1"/>
    <xf numFmtId="0" fontId="18" fillId="8" borderId="72" xfId="0" applyFont="1" applyFill="1" applyBorder="1"/>
    <xf numFmtId="0" fontId="6" fillId="0" borderId="26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7" borderId="36" xfId="0" applyFont="1" applyFill="1" applyBorder="1" applyAlignment="1">
      <alignment horizontal="center" vertical="center"/>
    </xf>
    <xf numFmtId="0" fontId="6" fillId="7" borderId="36" xfId="0" applyFont="1" applyFill="1" applyBorder="1" applyAlignment="1">
      <alignment horizontal="center" vertical="center" wrapText="1"/>
    </xf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35" xfId="0" applyBorder="1"/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0" fillId="0" borderId="84" xfId="0" applyBorder="1"/>
    <xf numFmtId="14" fontId="0" fillId="0" borderId="0" xfId="0" applyNumberFormat="1"/>
    <xf numFmtId="0" fontId="0" fillId="0" borderId="85" xfId="0" applyBorder="1"/>
    <xf numFmtId="14" fontId="0" fillId="0" borderId="32" xfId="0" applyNumberFormat="1" applyBorder="1"/>
    <xf numFmtId="14" fontId="0" fillId="0" borderId="53" xfId="0" applyNumberFormat="1" applyBorder="1"/>
    <xf numFmtId="14" fontId="0" fillId="0" borderId="42" xfId="0" applyNumberFormat="1" applyBorder="1"/>
    <xf numFmtId="14" fontId="0" fillId="0" borderId="29" xfId="0" applyNumberFormat="1" applyBorder="1"/>
    <xf numFmtId="14" fontId="0" fillId="0" borderId="30" xfId="0" applyNumberFormat="1" applyBorder="1"/>
    <xf numFmtId="0" fontId="0" fillId="0" borderId="60" xfId="0" applyBorder="1"/>
    <xf numFmtId="14" fontId="0" fillId="0" borderId="60" xfId="0" applyNumberFormat="1" applyBorder="1"/>
    <xf numFmtId="0" fontId="0" fillId="0" borderId="32" xfId="0" applyBorder="1"/>
    <xf numFmtId="0" fontId="0" fillId="0" borderId="53" xfId="0" applyBorder="1"/>
    <xf numFmtId="0" fontId="0" fillId="0" borderId="42" xfId="0" applyBorder="1"/>
    <xf numFmtId="0" fontId="0" fillId="0" borderId="29" xfId="0" applyBorder="1"/>
    <xf numFmtId="0" fontId="0" fillId="0" borderId="59" xfId="0" applyBorder="1"/>
    <xf numFmtId="0" fontId="0" fillId="0" borderId="30" xfId="0" applyBorder="1"/>
    <xf numFmtId="0" fontId="0" fillId="0" borderId="33" xfId="0" applyBorder="1"/>
    <xf numFmtId="0" fontId="18" fillId="19" borderId="97" xfId="0" applyFont="1" applyFill="1" applyBorder="1" applyAlignment="1">
      <alignment wrapText="1"/>
    </xf>
    <xf numFmtId="14" fontId="0" fillId="19" borderId="96" xfId="0" applyNumberFormat="1" applyFill="1" applyBorder="1" applyAlignment="1">
      <alignment horizontal="center" vertical="center"/>
    </xf>
    <xf numFmtId="0" fontId="18" fillId="19" borderId="98" xfId="0" applyFont="1" applyFill="1" applyBorder="1" applyAlignment="1">
      <alignment wrapText="1"/>
    </xf>
    <xf numFmtId="14" fontId="0" fillId="19" borderId="92" xfId="0" applyNumberFormat="1" applyFill="1" applyBorder="1" applyAlignment="1">
      <alignment horizontal="center" vertical="center"/>
    </xf>
    <xf numFmtId="0" fontId="18" fillId="19" borderId="93" xfId="0" applyFont="1" applyFill="1" applyBorder="1" applyAlignment="1">
      <alignment wrapText="1"/>
    </xf>
    <xf numFmtId="0" fontId="19" fillId="19" borderId="93" xfId="0" applyFont="1" applyFill="1" applyBorder="1" applyAlignment="1">
      <alignment wrapText="1"/>
    </xf>
    <xf numFmtId="0" fontId="18" fillId="19" borderId="94" xfId="0" applyFont="1" applyFill="1" applyBorder="1" applyAlignment="1">
      <alignment wrapText="1"/>
    </xf>
    <xf numFmtId="14" fontId="0" fillId="20" borderId="88" xfId="0" applyNumberFormat="1" applyFill="1" applyBorder="1" applyAlignment="1">
      <alignment horizontal="center" vertical="center"/>
    </xf>
    <xf numFmtId="0" fontId="18" fillId="20" borderId="58" xfId="0" applyFont="1" applyFill="1" applyBorder="1" applyAlignment="1">
      <alignment wrapText="1"/>
    </xf>
    <xf numFmtId="0" fontId="18" fillId="20" borderId="89" xfId="0" applyFont="1" applyFill="1" applyBorder="1" applyAlignment="1">
      <alignment wrapText="1"/>
    </xf>
    <xf numFmtId="14" fontId="35" fillId="0" borderId="0" xfId="0" applyNumberFormat="1" applyFont="1"/>
    <xf numFmtId="0" fontId="1" fillId="0" borderId="77" xfId="0" applyFont="1" applyBorder="1"/>
    <xf numFmtId="0" fontId="1" fillId="0" borderId="35" xfId="0" applyFont="1" applyBorder="1"/>
    <xf numFmtId="0" fontId="13" fillId="0" borderId="15" xfId="0" applyFont="1" applyBorder="1"/>
    <xf numFmtId="0" fontId="13" fillId="7" borderId="99" xfId="0" applyFont="1" applyFill="1" applyBorder="1" applyAlignment="1">
      <alignment horizontal="center" vertical="center"/>
    </xf>
    <xf numFmtId="0" fontId="13" fillId="7" borderId="100" xfId="0" applyFont="1" applyFill="1" applyBorder="1" applyAlignment="1">
      <alignment horizontal="center" vertical="center"/>
    </xf>
    <xf numFmtId="0" fontId="13" fillId="0" borderId="100" xfId="0" applyFont="1" applyBorder="1" applyAlignment="1">
      <alignment horizontal="center" vertical="center"/>
    </xf>
    <xf numFmtId="0" fontId="13" fillId="0" borderId="10" xfId="0" applyFont="1" applyBorder="1"/>
    <xf numFmtId="0" fontId="36" fillId="20" borderId="58" xfId="0" applyFont="1" applyFill="1" applyBorder="1" applyAlignment="1">
      <alignment wrapText="1"/>
    </xf>
    <xf numFmtId="0" fontId="36" fillId="19" borderId="93" xfId="0" applyFont="1" applyFill="1" applyBorder="1" applyAlignment="1">
      <alignment wrapText="1"/>
    </xf>
    <xf numFmtId="0" fontId="6" fillId="11" borderId="101" xfId="0" applyFont="1" applyFill="1" applyBorder="1" applyAlignment="1">
      <alignment horizontal="center" vertical="center"/>
    </xf>
    <xf numFmtId="0" fontId="6" fillId="11" borderId="102" xfId="0" applyFont="1" applyFill="1" applyBorder="1" applyAlignment="1">
      <alignment horizontal="center" vertical="center"/>
    </xf>
    <xf numFmtId="0" fontId="6" fillId="12" borderId="101" xfId="0" applyFont="1" applyFill="1" applyBorder="1" applyAlignment="1">
      <alignment horizontal="center" vertical="center"/>
    </xf>
    <xf numFmtId="0" fontId="6" fillId="12" borderId="102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0" fontId="6" fillId="8" borderId="16" xfId="0" applyFont="1" applyFill="1" applyBorder="1" applyAlignment="1">
      <alignment horizontal="center" vertical="center" wrapText="1"/>
    </xf>
    <xf numFmtId="0" fontId="12" fillId="7" borderId="18" xfId="0" applyFont="1" applyFill="1" applyBorder="1" applyAlignment="1">
      <alignment horizontal="center" vertical="center"/>
    </xf>
    <xf numFmtId="0" fontId="12" fillId="7" borderId="19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6" fillId="8" borderId="105" xfId="0" applyFont="1" applyFill="1" applyBorder="1" applyAlignment="1">
      <alignment horizontal="center" vertical="center" wrapText="1"/>
    </xf>
    <xf numFmtId="0" fontId="6" fillId="8" borderId="106" xfId="0" applyFont="1" applyFill="1" applyBorder="1" applyAlignment="1">
      <alignment horizontal="center" vertical="center" wrapText="1"/>
    </xf>
    <xf numFmtId="0" fontId="6" fillId="8" borderId="62" xfId="0" applyFont="1" applyFill="1" applyBorder="1" applyAlignment="1">
      <alignment horizontal="center" vertical="center"/>
    </xf>
    <xf numFmtId="0" fontId="6" fillId="8" borderId="64" xfId="0" applyFont="1" applyFill="1" applyBorder="1" applyAlignment="1">
      <alignment horizontal="center" vertical="center"/>
    </xf>
    <xf numFmtId="0" fontId="6" fillId="8" borderId="61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67" xfId="0" applyFont="1" applyFill="1" applyBorder="1" applyAlignment="1">
      <alignment horizontal="center" vertical="center"/>
    </xf>
    <xf numFmtId="0" fontId="6" fillId="7" borderId="50" xfId="0" applyFont="1" applyFill="1" applyBorder="1"/>
    <xf numFmtId="0" fontId="6" fillId="7" borderId="38" xfId="0" applyFont="1" applyFill="1" applyBorder="1"/>
    <xf numFmtId="0" fontId="6" fillId="7" borderId="38" xfId="0" applyFont="1" applyFill="1" applyBorder="1" applyAlignment="1">
      <alignment horizontal="left" vertical="center"/>
    </xf>
    <xf numFmtId="0" fontId="6" fillId="7" borderId="50" xfId="0" applyFont="1" applyFill="1" applyBorder="1" applyAlignment="1">
      <alignment horizontal="justify" vertical="center"/>
    </xf>
    <xf numFmtId="0" fontId="6" fillId="7" borderId="51" xfId="0" applyFont="1" applyFill="1" applyBorder="1" applyAlignment="1">
      <alignment horizontal="justify" vertical="center"/>
    </xf>
    <xf numFmtId="0" fontId="6" fillId="8" borderId="103" xfId="0" applyFont="1" applyFill="1" applyBorder="1" applyAlignment="1">
      <alignment vertical="center" wrapText="1"/>
    </xf>
    <xf numFmtId="0" fontId="6" fillId="8" borderId="104" xfId="0" applyFont="1" applyFill="1" applyBorder="1" applyAlignment="1">
      <alignment vertical="center" wrapText="1"/>
    </xf>
    <xf numFmtId="0" fontId="28" fillId="7" borderId="115" xfId="0" applyFont="1" applyFill="1" applyBorder="1" applyAlignment="1">
      <alignment horizontal="center" vertical="center"/>
    </xf>
    <xf numFmtId="0" fontId="28" fillId="7" borderId="116" xfId="0" applyFont="1" applyFill="1" applyBorder="1" applyAlignment="1">
      <alignment horizontal="center" vertical="center"/>
    </xf>
    <xf numFmtId="0" fontId="28" fillId="0" borderId="115" xfId="0" applyFont="1" applyBorder="1" applyAlignment="1">
      <alignment horizontal="center" vertical="center"/>
    </xf>
    <xf numFmtId="0" fontId="28" fillId="0" borderId="116" xfId="0" applyFont="1" applyBorder="1" applyAlignment="1">
      <alignment horizontal="center" vertical="center"/>
    </xf>
    <xf numFmtId="0" fontId="28" fillId="11" borderId="115" xfId="0" applyFont="1" applyFill="1" applyBorder="1" applyAlignment="1">
      <alignment horizontal="center" vertical="center"/>
    </xf>
    <xf numFmtId="0" fontId="28" fillId="11" borderId="116" xfId="0" applyFont="1" applyFill="1" applyBorder="1" applyAlignment="1">
      <alignment horizontal="center" vertical="center"/>
    </xf>
    <xf numFmtId="0" fontId="28" fillId="12" borderId="115" xfId="0" applyFont="1" applyFill="1" applyBorder="1" applyAlignment="1">
      <alignment horizontal="center" vertical="center"/>
    </xf>
    <xf numFmtId="0" fontId="28" fillId="12" borderId="116" xfId="0" applyFont="1" applyFill="1" applyBorder="1" applyAlignment="1">
      <alignment horizontal="center" vertical="center"/>
    </xf>
    <xf numFmtId="0" fontId="6" fillId="14" borderId="117" xfId="0" applyFont="1" applyFill="1" applyBorder="1" applyAlignment="1">
      <alignment horizontal="center" vertical="center"/>
    </xf>
    <xf numFmtId="0" fontId="6" fillId="7" borderId="117" xfId="0" applyFont="1" applyFill="1" applyBorder="1" applyAlignment="1">
      <alignment horizontal="center" vertical="center"/>
    </xf>
    <xf numFmtId="0" fontId="6" fillId="14" borderId="48" xfId="0" applyFont="1" applyFill="1" applyBorder="1" applyAlignment="1">
      <alignment horizontal="center" vertical="center"/>
    </xf>
    <xf numFmtId="0" fontId="6" fillId="14" borderId="49" xfId="0" applyFont="1" applyFill="1" applyBorder="1" applyAlignment="1">
      <alignment horizontal="center" vertical="center"/>
    </xf>
    <xf numFmtId="0" fontId="6" fillId="7" borderId="26" xfId="0" applyFont="1" applyFill="1" applyBorder="1" applyAlignment="1">
      <alignment horizontal="center" vertical="center" wrapText="1"/>
    </xf>
    <xf numFmtId="0" fontId="11" fillId="14" borderId="26" xfId="0" applyFont="1" applyFill="1" applyBorder="1" applyAlignment="1">
      <alignment horizontal="center" vertical="center" textRotation="90"/>
    </xf>
    <xf numFmtId="0" fontId="11" fillId="7" borderId="26" xfId="0" applyFont="1" applyFill="1" applyBorder="1" applyAlignment="1">
      <alignment horizontal="center" vertical="center" textRotation="90"/>
    </xf>
    <xf numFmtId="0" fontId="11" fillId="14" borderId="49" xfId="0" applyFont="1" applyFill="1" applyBorder="1" applyAlignment="1">
      <alignment horizontal="center" vertical="center" textRotation="90"/>
    </xf>
    <xf numFmtId="0" fontId="6" fillId="14" borderId="118" xfId="0" applyFont="1" applyFill="1" applyBorder="1" applyAlignment="1">
      <alignment horizontal="center" vertical="center"/>
    </xf>
    <xf numFmtId="0" fontId="6" fillId="7" borderId="118" xfId="0" applyFont="1" applyFill="1" applyBorder="1" applyAlignment="1">
      <alignment horizontal="center" vertical="center"/>
    </xf>
    <xf numFmtId="0" fontId="6" fillId="14" borderId="119" xfId="0" applyFont="1" applyFill="1" applyBorder="1" applyAlignment="1">
      <alignment horizontal="center" vertical="center"/>
    </xf>
    <xf numFmtId="0" fontId="6" fillId="14" borderId="120" xfId="0" applyFont="1" applyFill="1" applyBorder="1" applyAlignment="1">
      <alignment horizontal="center" vertical="center"/>
    </xf>
    <xf numFmtId="0" fontId="6" fillId="14" borderId="27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 vertical="center" textRotation="90"/>
    </xf>
    <xf numFmtId="0" fontId="6" fillId="14" borderId="121" xfId="0" applyFont="1" applyFill="1" applyBorder="1" applyAlignment="1">
      <alignment horizontal="center" vertical="center"/>
    </xf>
    <xf numFmtId="0" fontId="6" fillId="8" borderId="110" xfId="0" applyFont="1" applyFill="1" applyBorder="1" applyAlignment="1">
      <alignment vertical="center" wrapText="1"/>
    </xf>
    <xf numFmtId="0" fontId="6" fillId="8" borderId="2" xfId="0" applyFont="1" applyFill="1" applyBorder="1" applyAlignment="1">
      <alignment horizontal="center" vertical="center" wrapText="1"/>
    </xf>
    <xf numFmtId="0" fontId="6" fillId="8" borderId="111" xfId="0" applyFont="1" applyFill="1" applyBorder="1" applyAlignment="1">
      <alignment horizontal="center" vertical="center" wrapText="1"/>
    </xf>
    <xf numFmtId="0" fontId="6" fillId="7" borderId="50" xfId="0" applyFont="1" applyFill="1" applyBorder="1" applyAlignment="1">
      <alignment horizontal="left" vertical="center"/>
    </xf>
    <xf numFmtId="0" fontId="6" fillId="0" borderId="38" xfId="0" applyFont="1" applyBorder="1" applyAlignment="1">
      <alignment horizontal="justify" vertical="center"/>
    </xf>
    <xf numFmtId="0" fontId="6" fillId="0" borderId="51" xfId="0" applyFont="1" applyBorder="1" applyAlignment="1">
      <alignment horizontal="justify" vertical="center"/>
    </xf>
    <xf numFmtId="0" fontId="6" fillId="0" borderId="50" xfId="0" applyFont="1" applyBorder="1" applyAlignment="1">
      <alignment horizontal="justify" vertical="center"/>
    </xf>
    <xf numFmtId="0" fontId="6" fillId="11" borderId="50" xfId="0" applyFont="1" applyFill="1" applyBorder="1" applyAlignment="1">
      <alignment horizontal="justify" vertical="center"/>
    </xf>
    <xf numFmtId="0" fontId="6" fillId="11" borderId="38" xfId="0" applyFont="1" applyFill="1" applyBorder="1" applyAlignment="1">
      <alignment horizontal="justify" vertical="center"/>
    </xf>
    <xf numFmtId="0" fontId="6" fillId="11" borderId="51" xfId="0" applyFont="1" applyFill="1" applyBorder="1" applyAlignment="1">
      <alignment horizontal="justify" vertical="center"/>
    </xf>
    <xf numFmtId="0" fontId="6" fillId="7" borderId="38" xfId="0" applyFont="1" applyFill="1" applyBorder="1" applyAlignment="1">
      <alignment horizontal="justify" vertical="center"/>
    </xf>
    <xf numFmtId="0" fontId="6" fillId="8" borderId="50" xfId="0" applyFont="1" applyFill="1" applyBorder="1" applyAlignment="1">
      <alignment vertical="center" wrapText="1"/>
    </xf>
    <xf numFmtId="0" fontId="6" fillId="8" borderId="38" xfId="0" applyFont="1" applyFill="1" applyBorder="1" applyAlignment="1">
      <alignment vertical="center" wrapText="1"/>
    </xf>
    <xf numFmtId="0" fontId="6" fillId="8" borderId="51" xfId="0" applyFont="1" applyFill="1" applyBorder="1" applyAlignment="1">
      <alignment vertical="center" wrapText="1"/>
    </xf>
    <xf numFmtId="0" fontId="12" fillId="0" borderId="124" xfId="0" applyFont="1" applyBorder="1" applyAlignment="1">
      <alignment horizontal="left" vertical="center" wrapText="1"/>
    </xf>
    <xf numFmtId="0" fontId="28" fillId="0" borderId="125" xfId="0" applyFont="1" applyBorder="1" applyAlignment="1">
      <alignment horizontal="left" vertical="top" wrapText="1"/>
    </xf>
    <xf numFmtId="0" fontId="6" fillId="7" borderId="63" xfId="0" applyFont="1" applyFill="1" applyBorder="1" applyAlignment="1">
      <alignment horizontal="center" vertical="center"/>
    </xf>
    <xf numFmtId="0" fontId="6" fillId="7" borderId="65" xfId="0" applyFont="1" applyFill="1" applyBorder="1" applyAlignment="1">
      <alignment horizontal="center" vertical="center"/>
    </xf>
    <xf numFmtId="0" fontId="6" fillId="0" borderId="67" xfId="0" applyFont="1" applyBorder="1"/>
    <xf numFmtId="0" fontId="6" fillId="7" borderId="68" xfId="0" applyFont="1" applyFill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11" borderId="62" xfId="0" applyFont="1" applyFill="1" applyBorder="1" applyAlignment="1">
      <alignment horizontal="center" vertical="center"/>
    </xf>
    <xf numFmtId="0" fontId="6" fillId="11" borderId="64" xfId="0" applyFont="1" applyFill="1" applyBorder="1" applyAlignment="1">
      <alignment horizontal="center" vertical="center"/>
    </xf>
    <xf numFmtId="0" fontId="6" fillId="11" borderId="63" xfId="0" applyFont="1" applyFill="1" applyBorder="1" applyAlignment="1">
      <alignment horizontal="center" vertical="center"/>
    </xf>
    <xf numFmtId="0" fontId="6" fillId="11" borderId="61" xfId="0" applyFont="1" applyFill="1" applyBorder="1" applyAlignment="1">
      <alignment horizontal="center" vertical="center"/>
    </xf>
    <xf numFmtId="0" fontId="6" fillId="11" borderId="6" xfId="0" applyFont="1" applyFill="1" applyBorder="1" applyAlignment="1">
      <alignment horizontal="center" vertical="center"/>
    </xf>
    <xf numFmtId="0" fontId="6" fillId="11" borderId="65" xfId="0" applyFont="1" applyFill="1" applyBorder="1" applyAlignment="1">
      <alignment horizontal="center" vertical="center"/>
    </xf>
    <xf numFmtId="0" fontId="6" fillId="11" borderId="66" xfId="0" applyFont="1" applyFill="1" applyBorder="1" applyAlignment="1">
      <alignment horizontal="center" vertical="center"/>
    </xf>
    <xf numFmtId="0" fontId="6" fillId="11" borderId="67" xfId="0" applyFont="1" applyFill="1" applyBorder="1" applyAlignment="1">
      <alignment horizontal="center" vertical="center"/>
    </xf>
    <xf numFmtId="0" fontId="6" fillId="11" borderId="68" xfId="0" applyFont="1" applyFill="1" applyBorder="1" applyAlignment="1">
      <alignment horizontal="center" vertical="center"/>
    </xf>
    <xf numFmtId="0" fontId="6" fillId="7" borderId="64" xfId="0" applyFont="1" applyFill="1" applyBorder="1" applyAlignment="1">
      <alignment horizontal="center" vertical="center"/>
    </xf>
    <xf numFmtId="0" fontId="6" fillId="7" borderId="67" xfId="0" applyFont="1" applyFill="1" applyBorder="1" applyAlignment="1">
      <alignment horizontal="center" vertical="center"/>
    </xf>
    <xf numFmtId="0" fontId="6" fillId="8" borderId="63" xfId="0" applyFont="1" applyFill="1" applyBorder="1" applyAlignment="1">
      <alignment horizontal="center" vertical="center"/>
    </xf>
    <xf numFmtId="0" fontId="6" fillId="8" borderId="65" xfId="0" applyFont="1" applyFill="1" applyBorder="1" applyAlignment="1">
      <alignment horizontal="center" vertical="center"/>
    </xf>
    <xf numFmtId="0" fontId="6" fillId="8" borderId="68" xfId="0" applyFont="1" applyFill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12" fillId="0" borderId="64" xfId="0" applyFont="1" applyBorder="1" applyAlignment="1">
      <alignment horizontal="center" vertical="center"/>
    </xf>
    <xf numFmtId="0" fontId="12" fillId="0" borderId="63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36" fillId="20" borderId="89" xfId="0" applyFont="1" applyFill="1" applyBorder="1" applyAlignment="1">
      <alignment wrapText="1"/>
    </xf>
    <xf numFmtId="0" fontId="36" fillId="19" borderId="94" xfId="0" applyFont="1" applyFill="1" applyBorder="1" applyAlignment="1">
      <alignment wrapText="1"/>
    </xf>
    <xf numFmtId="0" fontId="35" fillId="0" borderId="0" xfId="0" applyFont="1"/>
    <xf numFmtId="0" fontId="37" fillId="19" borderId="93" xfId="0" applyFont="1" applyFill="1" applyBorder="1" applyAlignment="1">
      <alignment wrapText="1"/>
    </xf>
    <xf numFmtId="0" fontId="6" fillId="0" borderId="7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/>
    </xf>
    <xf numFmtId="0" fontId="6" fillId="7" borderId="129" xfId="0" applyFont="1" applyFill="1" applyBorder="1" applyAlignment="1">
      <alignment horizontal="center" vertical="center"/>
    </xf>
    <xf numFmtId="0" fontId="6" fillId="0" borderId="130" xfId="0" applyFont="1" applyBorder="1" applyAlignment="1">
      <alignment horizontal="justify" vertical="center"/>
    </xf>
    <xf numFmtId="0" fontId="6" fillId="11" borderId="127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0" fontId="6" fillId="11" borderId="108" xfId="0" applyFont="1" applyFill="1" applyBorder="1" applyAlignment="1">
      <alignment horizontal="center" vertical="center"/>
    </xf>
    <xf numFmtId="0" fontId="6" fillId="11" borderId="131" xfId="0" applyFont="1" applyFill="1" applyBorder="1" applyAlignment="1">
      <alignment horizontal="justify" vertical="center"/>
    </xf>
    <xf numFmtId="0" fontId="6" fillId="0" borderId="127" xfId="0" applyFont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108" xfId="0" applyFont="1" applyFill="1" applyBorder="1" applyAlignment="1">
      <alignment horizontal="center" vertical="center"/>
    </xf>
    <xf numFmtId="0" fontId="6" fillId="7" borderId="131" xfId="0" applyFont="1" applyFill="1" applyBorder="1" applyAlignment="1">
      <alignment horizontal="justify" vertical="center"/>
    </xf>
    <xf numFmtId="0" fontId="6" fillId="0" borderId="128" xfId="0" applyFont="1" applyBorder="1" applyAlignment="1">
      <alignment horizontal="center" vertical="center"/>
    </xf>
    <xf numFmtId="0" fontId="6" fillId="7" borderId="13" xfId="0" applyFont="1" applyFill="1" applyBorder="1" applyAlignment="1">
      <alignment horizontal="center" vertical="center"/>
    </xf>
    <xf numFmtId="0" fontId="6" fillId="7" borderId="109" xfId="0" applyFont="1" applyFill="1" applyBorder="1" applyAlignment="1">
      <alignment horizontal="center" vertical="center"/>
    </xf>
    <xf numFmtId="0" fontId="6" fillId="7" borderId="132" xfId="0" applyFont="1" applyFill="1" applyBorder="1" applyAlignment="1">
      <alignment horizontal="justify" vertical="center"/>
    </xf>
    <xf numFmtId="0" fontId="6" fillId="14" borderId="126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7" borderId="28" xfId="0" applyFont="1" applyFill="1" applyBorder="1" applyAlignment="1">
      <alignment horizontal="center" vertical="center"/>
    </xf>
    <xf numFmtId="0" fontId="6" fillId="14" borderId="133" xfId="0" applyFont="1" applyFill="1" applyBorder="1" applyAlignment="1">
      <alignment horizontal="center" vertical="center"/>
    </xf>
    <xf numFmtId="16" fontId="6" fillId="11" borderId="5" xfId="0" applyNumberFormat="1" applyFont="1" applyFill="1" applyBorder="1" applyAlignment="1">
      <alignment horizontal="center" vertical="center"/>
    </xf>
    <xf numFmtId="16" fontId="6" fillId="12" borderId="5" xfId="0" applyNumberFormat="1" applyFont="1" applyFill="1" applyBorder="1" applyAlignment="1">
      <alignment horizontal="center" vertical="center"/>
    </xf>
    <xf numFmtId="16" fontId="6" fillId="13" borderId="5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17" fontId="7" fillId="0" borderId="0" xfId="0" applyNumberFormat="1" applyFont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9" fillId="8" borderId="8" xfId="0" applyFont="1" applyFill="1" applyBorder="1" applyAlignment="1">
      <alignment horizontal="center" vertical="center" textRotation="90"/>
    </xf>
    <xf numFmtId="0" fontId="9" fillId="8" borderId="17" xfId="0" applyFont="1" applyFill="1" applyBorder="1" applyAlignment="1">
      <alignment horizontal="center" vertical="center" textRotation="90"/>
    </xf>
    <xf numFmtId="0" fontId="7" fillId="0" borderId="122" xfId="0" applyFont="1" applyBorder="1" applyAlignment="1">
      <alignment horizontal="center" vertical="center" textRotation="90"/>
    </xf>
    <xf numFmtId="0" fontId="11" fillId="0" borderId="122" xfId="0" applyFont="1" applyBorder="1" applyAlignment="1">
      <alignment horizontal="center" vertical="center" textRotation="90"/>
    </xf>
    <xf numFmtId="0" fontId="3" fillId="11" borderId="122" xfId="0" applyFont="1" applyFill="1" applyBorder="1" applyAlignment="1">
      <alignment horizontal="center" vertical="center"/>
    </xf>
    <xf numFmtId="0" fontId="9" fillId="0" borderId="122" xfId="0" applyFont="1" applyBorder="1" applyAlignment="1">
      <alignment horizontal="center" vertical="center" textRotation="90"/>
    </xf>
    <xf numFmtId="0" fontId="8" fillId="8" borderId="107" xfId="0" applyFont="1" applyFill="1" applyBorder="1" applyAlignment="1">
      <alignment horizontal="center" vertical="center" textRotation="90"/>
    </xf>
    <xf numFmtId="0" fontId="8" fillId="8" borderId="17" xfId="0" applyFont="1" applyFill="1" applyBorder="1" applyAlignment="1">
      <alignment horizontal="center" vertical="center" textRotation="90"/>
    </xf>
    <xf numFmtId="0" fontId="8" fillId="8" borderId="4" xfId="0" applyFont="1" applyFill="1" applyBorder="1" applyAlignment="1">
      <alignment horizontal="center" vertical="center" textRotation="90"/>
    </xf>
    <xf numFmtId="0" fontId="3" fillId="0" borderId="8" xfId="0" applyFont="1" applyBorder="1" applyAlignment="1">
      <alignment horizontal="center" vertical="center" textRotation="90" wrapText="1"/>
    </xf>
    <xf numFmtId="0" fontId="3" fillId="0" borderId="123" xfId="0" applyFont="1" applyBorder="1" applyAlignment="1">
      <alignment horizontal="center" vertical="center" textRotation="90" wrapText="1"/>
    </xf>
    <xf numFmtId="0" fontId="30" fillId="7" borderId="112" xfId="0" applyFont="1" applyFill="1" applyBorder="1" applyAlignment="1">
      <alignment horizontal="center" vertical="center"/>
    </xf>
    <xf numFmtId="0" fontId="30" fillId="7" borderId="113" xfId="0" applyFont="1" applyFill="1" applyBorder="1" applyAlignment="1">
      <alignment horizontal="center" vertical="center"/>
    </xf>
    <xf numFmtId="0" fontId="30" fillId="7" borderId="114" xfId="0" applyFont="1" applyFill="1" applyBorder="1" applyAlignment="1">
      <alignment horizontal="center" vertical="center"/>
    </xf>
    <xf numFmtId="0" fontId="31" fillId="7" borderId="37" xfId="0" applyFont="1" applyFill="1" applyBorder="1" applyAlignment="1">
      <alignment horizontal="center" vertical="center"/>
    </xf>
    <xf numFmtId="0" fontId="31" fillId="7" borderId="56" xfId="0" applyFont="1" applyFill="1" applyBorder="1" applyAlignment="1">
      <alignment horizontal="center" vertical="center"/>
    </xf>
    <xf numFmtId="0" fontId="31" fillId="7" borderId="57" xfId="0" applyFont="1" applyFill="1" applyBorder="1" applyAlignment="1">
      <alignment horizontal="center" vertical="center"/>
    </xf>
    <xf numFmtId="14" fontId="0" fillId="6" borderId="81" xfId="0" applyNumberFormat="1" applyFill="1" applyBorder="1" applyAlignment="1">
      <alignment horizontal="center" vertical="center"/>
    </xf>
    <xf numFmtId="14" fontId="0" fillId="6" borderId="91" xfId="0" applyNumberFormat="1" applyFill="1" applyBorder="1" applyAlignment="1">
      <alignment horizontal="center" vertical="center"/>
    </xf>
    <xf numFmtId="0" fontId="32" fillId="0" borderId="74" xfId="0" applyFont="1" applyBorder="1" applyAlignment="1">
      <alignment horizontal="center"/>
    </xf>
    <xf numFmtId="0" fontId="33" fillId="0" borderId="74" xfId="0" applyFont="1" applyBorder="1" applyAlignment="1">
      <alignment horizontal="center"/>
    </xf>
    <xf numFmtId="0" fontId="34" fillId="0" borderId="74" xfId="0" applyFont="1" applyBorder="1" applyAlignment="1">
      <alignment horizontal="center"/>
    </xf>
    <xf numFmtId="0" fontId="1" fillId="0" borderId="75" xfId="0" applyFont="1" applyBorder="1" applyAlignment="1">
      <alignment horizontal="center"/>
    </xf>
    <xf numFmtId="0" fontId="1" fillId="0" borderId="76" xfId="0" applyFont="1" applyBorder="1" applyAlignment="1">
      <alignment horizontal="center"/>
    </xf>
    <xf numFmtId="0" fontId="1" fillId="0" borderId="80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6" borderId="87" xfId="0" applyFill="1" applyBorder="1" applyAlignment="1">
      <alignment horizontal="center" vertical="center"/>
    </xf>
    <xf numFmtId="0" fontId="0" fillId="6" borderId="90" xfId="0" applyFill="1" applyBorder="1" applyAlignment="1">
      <alignment horizontal="center" vertical="center"/>
    </xf>
    <xf numFmtId="0" fontId="0" fillId="6" borderId="91" xfId="0" applyFill="1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14" fontId="0" fillId="0" borderId="81" xfId="0" applyNumberFormat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14" fontId="0" fillId="0" borderId="91" xfId="0" applyNumberFormat="1" applyBorder="1" applyAlignment="1">
      <alignment horizontal="center" vertical="center"/>
    </xf>
    <xf numFmtId="0" fontId="0" fillId="6" borderId="95" xfId="0" applyFill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0" fontId="18" fillId="8" borderId="0" xfId="0" applyFont="1" applyFill="1"/>
    <xf numFmtId="0" fontId="20" fillId="8" borderId="0" xfId="0" applyFont="1" applyFill="1"/>
    <xf numFmtId="0" fontId="18" fillId="8" borderId="46" xfId="0" applyFont="1" applyFill="1" applyBorder="1"/>
    <xf numFmtId="0" fontId="18" fillId="8" borderId="47" xfId="0" applyFont="1" applyFill="1" applyBorder="1"/>
    <xf numFmtId="0" fontId="18" fillId="8" borderId="41" xfId="0" applyFont="1" applyFill="1" applyBorder="1"/>
    <xf numFmtId="0" fontId="21" fillId="8" borderId="34" xfId="0" applyFont="1" applyFill="1" applyBorder="1"/>
    <xf numFmtId="0" fontId="21" fillId="8" borderId="53" xfId="0" applyFont="1" applyFill="1" applyBorder="1"/>
    <xf numFmtId="0" fontId="18" fillId="8" borderId="54" xfId="0" applyFont="1" applyFill="1" applyBorder="1"/>
    <xf numFmtId="0" fontId="20" fillId="8" borderId="55" xfId="0" applyFont="1" applyFill="1" applyBorder="1"/>
    <xf numFmtId="0" fontId="21" fillId="7" borderId="20" xfId="0" applyFont="1" applyFill="1" applyBorder="1" applyAlignment="1">
      <alignment horizontal="center"/>
    </xf>
    <xf numFmtId="0" fontId="21" fillId="7" borderId="7" xfId="0" applyFont="1" applyFill="1" applyBorder="1" applyAlignment="1">
      <alignment horizontal="center"/>
    </xf>
    <xf numFmtId="0" fontId="18" fillId="8" borderId="14" xfId="0" applyFont="1" applyFill="1" applyBorder="1"/>
    <xf numFmtId="0" fontId="20" fillId="8" borderId="31" xfId="0" applyFont="1" applyFill="1" applyBorder="1"/>
    <xf numFmtId="0" fontId="15" fillId="19" borderId="93" xfId="0" applyFont="1" applyFill="1" applyBorder="1" applyAlignment="1">
      <alignment wrapText="1"/>
    </xf>
    <xf numFmtId="0" fontId="38" fillId="14" borderId="118" xfId="0" applyFont="1" applyFill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44">
    <dxf>
      <font>
        <b/>
        <i val="0"/>
      </font>
    </dxf>
    <dxf>
      <font>
        <color rgb="FFC65911"/>
      </font>
      <fill>
        <patternFill>
          <bgColor rgb="FFFCE4D6"/>
        </patternFill>
      </fill>
    </dxf>
    <dxf>
      <font>
        <color rgb="FF9C0006"/>
      </font>
      <fill>
        <patternFill>
          <bgColor rgb="FFFF85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5"/>
      </font>
      <fill>
        <patternFill patternType="solid"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  <fill>
        <patternFill patternType="solid"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 patternType="solid"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color theme="5"/>
      </font>
    </dxf>
    <dxf>
      <font>
        <color theme="5"/>
      </font>
      <fill>
        <patternFill patternType="solid"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color theme="5"/>
      </font>
      <fill>
        <patternFill patternType="solid"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color rgb="FFFF0000"/>
      </font>
    </dxf>
    <dxf>
      <font>
        <color theme="5"/>
      </font>
    </dxf>
    <dxf>
      <font>
        <color theme="5"/>
      </font>
      <fill>
        <patternFill patternType="solid"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color theme="5"/>
      </font>
      <fill>
        <patternFill patternType="solid"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D5E2FF"/>
      <color rgb="FFD7FFC9"/>
      <color rgb="FF9C0006"/>
      <color rgb="FFFF8585"/>
      <color rgb="FFFCE4D6"/>
      <color rgb="FFC659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666750</xdr:colOff>
      <xdr:row>0</xdr:row>
      <xdr:rowOff>0</xdr:rowOff>
    </xdr:from>
    <xdr:to>
      <xdr:col>10</xdr:col>
      <xdr:colOff>428625</xdr:colOff>
      <xdr:row>2</xdr:row>
      <xdr:rowOff>219075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89DFCF0-E999-4B87-9D39-B6524EFA390E}"/>
            </a:ext>
            <a:ext uri="{147F2762-F138-4A5C-976F-8EAC2B608ADB}">
              <a16:predDERef xmlns:a16="http://schemas.microsoft.com/office/drawing/2014/main" pred="{6888430C-5BE9-4F35-955B-C5329487E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57650" y="0"/>
          <a:ext cx="2533650" cy="904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1845945</xdr:colOff>
      <xdr:row>17</xdr:row>
      <xdr:rowOff>45720</xdr:rowOff>
    </xdr:from>
    <xdr:to>
      <xdr:col>6</xdr:col>
      <xdr:colOff>3576625</xdr:colOff>
      <xdr:row>20</xdr:row>
      <xdr:rowOff>75121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73A722F-1E45-4F33-8C52-2F1540E6B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14185" y="4122420"/>
          <a:ext cx="1730680" cy="6009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C71"/>
  <sheetViews>
    <sheetView showGridLines="0" topLeftCell="L1" zoomScale="66" zoomScaleNormal="85" workbookViewId="0">
      <selection activeCell="N43" sqref="N43"/>
    </sheetView>
  </sheetViews>
  <sheetFormatPr defaultRowHeight="15.6" x14ac:dyDescent="0.3"/>
  <cols>
    <col min="1" max="2" width="7.109375" style="1" customWidth="1"/>
    <col min="3" max="6" width="7.109375" style="13" customWidth="1"/>
    <col min="7" max="7" width="8" style="13" customWidth="1"/>
    <col min="8" max="8" width="15.6640625" style="13" bestFit="1" customWidth="1"/>
    <col min="9" max="9" width="12.44140625" style="13" bestFit="1" customWidth="1"/>
    <col min="10" max="10" width="13.44140625" style="17" bestFit="1" customWidth="1"/>
    <col min="11" max="11" width="11.88671875" style="1" bestFit="1" customWidth="1"/>
    <col min="12" max="12" width="79.5546875" style="14" bestFit="1" customWidth="1"/>
    <col min="13" max="14" width="13.109375" style="1" bestFit="1" customWidth="1"/>
    <col min="15" max="15" width="11.6640625" style="1" customWidth="1"/>
    <col min="16" max="16" width="12.5546875" style="1" customWidth="1"/>
    <col min="17" max="17" width="12.109375" style="1" customWidth="1"/>
    <col min="18" max="18" width="11.88671875" style="1" customWidth="1"/>
    <col min="19" max="19" width="14" style="1" customWidth="1"/>
    <col min="20" max="20" width="15.109375" style="1" customWidth="1"/>
    <col min="21" max="21" width="15.44140625" style="1" bestFit="1" customWidth="1"/>
    <col min="22" max="22" width="13.88671875" style="1" bestFit="1" customWidth="1"/>
    <col min="23" max="23" width="13.44140625" style="1" customWidth="1"/>
    <col min="24" max="24" width="12.5546875" style="1" customWidth="1"/>
    <col min="25" max="26" width="9.33203125" style="1" customWidth="1"/>
    <col min="27" max="28" width="9.109375" style="1"/>
    <col min="29" max="29" width="22.6640625" style="1" customWidth="1"/>
    <col min="30" max="255" width="9.109375" style="1"/>
    <col min="256" max="256" width="8.88671875" style="1" customWidth="1"/>
    <col min="257" max="257" width="11.44140625" style="1" customWidth="1"/>
    <col min="258" max="258" width="7.33203125" style="1" customWidth="1"/>
    <col min="259" max="259" width="7.44140625" style="1" bestFit="1" customWidth="1"/>
    <col min="260" max="260" width="8" style="1" bestFit="1" customWidth="1"/>
    <col min="261" max="261" width="8" style="1" customWidth="1"/>
    <col min="262" max="262" width="15.6640625" style="1" bestFit="1" customWidth="1"/>
    <col min="263" max="263" width="11.5546875" style="1" customWidth="1"/>
    <col min="264" max="264" width="12.88671875" style="1" bestFit="1" customWidth="1"/>
    <col min="265" max="265" width="11.33203125" style="1" customWidth="1"/>
    <col min="266" max="266" width="5.33203125" style="1" customWidth="1"/>
    <col min="267" max="267" width="74.5546875" style="1" customWidth="1"/>
    <col min="268" max="268" width="0" style="1" hidden="1" customWidth="1"/>
    <col min="269" max="269" width="9.6640625" style="1" bestFit="1" customWidth="1"/>
    <col min="270" max="270" width="9.33203125" style="1" bestFit="1" customWidth="1"/>
    <col min="271" max="271" width="12" style="1" customWidth="1"/>
    <col min="272" max="272" width="12.109375" style="1" customWidth="1"/>
    <col min="273" max="273" width="14.44140625" style="1" customWidth="1"/>
    <col min="274" max="274" width="11.6640625" style="1" customWidth="1"/>
    <col min="275" max="275" width="11.6640625" style="1" bestFit="1" customWidth="1"/>
    <col min="276" max="276" width="11.6640625" style="1" customWidth="1"/>
    <col min="277" max="278" width="11.6640625" style="1" bestFit="1" customWidth="1"/>
    <col min="279" max="282" width="9.33203125" style="1" customWidth="1"/>
    <col min="283" max="511" width="9.109375" style="1"/>
    <col min="512" max="512" width="8.88671875" style="1" customWidth="1"/>
    <col min="513" max="513" width="11.44140625" style="1" customWidth="1"/>
    <col min="514" max="514" width="7.33203125" style="1" customWidth="1"/>
    <col min="515" max="515" width="7.44140625" style="1" bestFit="1" customWidth="1"/>
    <col min="516" max="516" width="8" style="1" bestFit="1" customWidth="1"/>
    <col min="517" max="517" width="8" style="1" customWidth="1"/>
    <col min="518" max="518" width="15.6640625" style="1" bestFit="1" customWidth="1"/>
    <col min="519" max="519" width="11.5546875" style="1" customWidth="1"/>
    <col min="520" max="520" width="12.88671875" style="1" bestFit="1" customWidth="1"/>
    <col min="521" max="521" width="11.33203125" style="1" customWidth="1"/>
    <col min="522" max="522" width="5.33203125" style="1" customWidth="1"/>
    <col min="523" max="523" width="74.5546875" style="1" customWidth="1"/>
    <col min="524" max="524" width="0" style="1" hidden="1" customWidth="1"/>
    <col min="525" max="525" width="9.6640625" style="1" bestFit="1" customWidth="1"/>
    <col min="526" max="526" width="9.33203125" style="1" bestFit="1" customWidth="1"/>
    <col min="527" max="527" width="12" style="1" customWidth="1"/>
    <col min="528" max="528" width="12.109375" style="1" customWidth="1"/>
    <col min="529" max="529" width="14.44140625" style="1" customWidth="1"/>
    <col min="530" max="530" width="11.6640625" style="1" customWidth="1"/>
    <col min="531" max="531" width="11.6640625" style="1" bestFit="1" customWidth="1"/>
    <col min="532" max="532" width="11.6640625" style="1" customWidth="1"/>
    <col min="533" max="534" width="11.6640625" style="1" bestFit="1" customWidth="1"/>
    <col min="535" max="538" width="9.33203125" style="1" customWidth="1"/>
    <col min="539" max="767" width="9.109375" style="1"/>
    <col min="768" max="768" width="8.88671875" style="1" customWidth="1"/>
    <col min="769" max="769" width="11.44140625" style="1" customWidth="1"/>
    <col min="770" max="770" width="7.33203125" style="1" customWidth="1"/>
    <col min="771" max="771" width="7.44140625" style="1" bestFit="1" customWidth="1"/>
    <col min="772" max="772" width="8" style="1" bestFit="1" customWidth="1"/>
    <col min="773" max="773" width="8" style="1" customWidth="1"/>
    <col min="774" max="774" width="15.6640625" style="1" bestFit="1" customWidth="1"/>
    <col min="775" max="775" width="11.5546875" style="1" customWidth="1"/>
    <col min="776" max="776" width="12.88671875" style="1" bestFit="1" customWidth="1"/>
    <col min="777" max="777" width="11.33203125" style="1" customWidth="1"/>
    <col min="778" max="778" width="5.33203125" style="1" customWidth="1"/>
    <col min="779" max="779" width="74.5546875" style="1" customWidth="1"/>
    <col min="780" max="780" width="0" style="1" hidden="1" customWidth="1"/>
    <col min="781" max="781" width="9.6640625" style="1" bestFit="1" customWidth="1"/>
    <col min="782" max="782" width="9.33203125" style="1" bestFit="1" customWidth="1"/>
    <col min="783" max="783" width="12" style="1" customWidth="1"/>
    <col min="784" max="784" width="12.109375" style="1" customWidth="1"/>
    <col min="785" max="785" width="14.44140625" style="1" customWidth="1"/>
    <col min="786" max="786" width="11.6640625" style="1" customWidth="1"/>
    <col min="787" max="787" width="11.6640625" style="1" bestFit="1" customWidth="1"/>
    <col min="788" max="788" width="11.6640625" style="1" customWidth="1"/>
    <col min="789" max="790" width="11.6640625" style="1" bestFit="1" customWidth="1"/>
    <col min="791" max="794" width="9.33203125" style="1" customWidth="1"/>
    <col min="795" max="1023" width="9.109375" style="1"/>
    <col min="1024" max="1024" width="8.88671875" style="1" customWidth="1"/>
    <col min="1025" max="1025" width="11.44140625" style="1" customWidth="1"/>
    <col min="1026" max="1026" width="7.33203125" style="1" customWidth="1"/>
    <col min="1027" max="1027" width="7.44140625" style="1" bestFit="1" customWidth="1"/>
    <col min="1028" max="1028" width="8" style="1" bestFit="1" customWidth="1"/>
    <col min="1029" max="1029" width="8" style="1" customWidth="1"/>
    <col min="1030" max="1030" width="15.6640625" style="1" bestFit="1" customWidth="1"/>
    <col min="1031" max="1031" width="11.5546875" style="1" customWidth="1"/>
    <col min="1032" max="1032" width="12.88671875" style="1" bestFit="1" customWidth="1"/>
    <col min="1033" max="1033" width="11.33203125" style="1" customWidth="1"/>
    <col min="1034" max="1034" width="5.33203125" style="1" customWidth="1"/>
    <col min="1035" max="1035" width="74.5546875" style="1" customWidth="1"/>
    <col min="1036" max="1036" width="0" style="1" hidden="1" customWidth="1"/>
    <col min="1037" max="1037" width="9.6640625" style="1" bestFit="1" customWidth="1"/>
    <col min="1038" max="1038" width="9.33203125" style="1" bestFit="1" customWidth="1"/>
    <col min="1039" max="1039" width="12" style="1" customWidth="1"/>
    <col min="1040" max="1040" width="12.109375" style="1" customWidth="1"/>
    <col min="1041" max="1041" width="14.44140625" style="1" customWidth="1"/>
    <col min="1042" max="1042" width="11.6640625" style="1" customWidth="1"/>
    <col min="1043" max="1043" width="11.6640625" style="1" bestFit="1" customWidth="1"/>
    <col min="1044" max="1044" width="11.6640625" style="1" customWidth="1"/>
    <col min="1045" max="1046" width="11.6640625" style="1" bestFit="1" customWidth="1"/>
    <col min="1047" max="1050" width="9.33203125" style="1" customWidth="1"/>
    <col min="1051" max="1279" width="9.109375" style="1"/>
    <col min="1280" max="1280" width="8.88671875" style="1" customWidth="1"/>
    <col min="1281" max="1281" width="11.44140625" style="1" customWidth="1"/>
    <col min="1282" max="1282" width="7.33203125" style="1" customWidth="1"/>
    <col min="1283" max="1283" width="7.44140625" style="1" bestFit="1" customWidth="1"/>
    <col min="1284" max="1284" width="8" style="1" bestFit="1" customWidth="1"/>
    <col min="1285" max="1285" width="8" style="1" customWidth="1"/>
    <col min="1286" max="1286" width="15.6640625" style="1" bestFit="1" customWidth="1"/>
    <col min="1287" max="1287" width="11.5546875" style="1" customWidth="1"/>
    <col min="1288" max="1288" width="12.88671875" style="1" bestFit="1" customWidth="1"/>
    <col min="1289" max="1289" width="11.33203125" style="1" customWidth="1"/>
    <col min="1290" max="1290" width="5.33203125" style="1" customWidth="1"/>
    <col min="1291" max="1291" width="74.5546875" style="1" customWidth="1"/>
    <col min="1292" max="1292" width="0" style="1" hidden="1" customWidth="1"/>
    <col min="1293" max="1293" width="9.6640625" style="1" bestFit="1" customWidth="1"/>
    <col min="1294" max="1294" width="9.33203125" style="1" bestFit="1" customWidth="1"/>
    <col min="1295" max="1295" width="12" style="1" customWidth="1"/>
    <col min="1296" max="1296" width="12.109375" style="1" customWidth="1"/>
    <col min="1297" max="1297" width="14.44140625" style="1" customWidth="1"/>
    <col min="1298" max="1298" width="11.6640625" style="1" customWidth="1"/>
    <col min="1299" max="1299" width="11.6640625" style="1" bestFit="1" customWidth="1"/>
    <col min="1300" max="1300" width="11.6640625" style="1" customWidth="1"/>
    <col min="1301" max="1302" width="11.6640625" style="1" bestFit="1" customWidth="1"/>
    <col min="1303" max="1306" width="9.33203125" style="1" customWidth="1"/>
    <col min="1307" max="1535" width="9.109375" style="1"/>
    <col min="1536" max="1536" width="8.88671875" style="1" customWidth="1"/>
    <col min="1537" max="1537" width="11.44140625" style="1" customWidth="1"/>
    <col min="1538" max="1538" width="7.33203125" style="1" customWidth="1"/>
    <col min="1539" max="1539" width="7.44140625" style="1" bestFit="1" customWidth="1"/>
    <col min="1540" max="1540" width="8" style="1" bestFit="1" customWidth="1"/>
    <col min="1541" max="1541" width="8" style="1" customWidth="1"/>
    <col min="1542" max="1542" width="15.6640625" style="1" bestFit="1" customWidth="1"/>
    <col min="1543" max="1543" width="11.5546875" style="1" customWidth="1"/>
    <col min="1544" max="1544" width="12.88671875" style="1" bestFit="1" customWidth="1"/>
    <col min="1545" max="1545" width="11.33203125" style="1" customWidth="1"/>
    <col min="1546" max="1546" width="5.33203125" style="1" customWidth="1"/>
    <col min="1547" max="1547" width="74.5546875" style="1" customWidth="1"/>
    <col min="1548" max="1548" width="0" style="1" hidden="1" customWidth="1"/>
    <col min="1549" max="1549" width="9.6640625" style="1" bestFit="1" customWidth="1"/>
    <col min="1550" max="1550" width="9.33203125" style="1" bestFit="1" customWidth="1"/>
    <col min="1551" max="1551" width="12" style="1" customWidth="1"/>
    <col min="1552" max="1552" width="12.109375" style="1" customWidth="1"/>
    <col min="1553" max="1553" width="14.44140625" style="1" customWidth="1"/>
    <col min="1554" max="1554" width="11.6640625" style="1" customWidth="1"/>
    <col min="1555" max="1555" width="11.6640625" style="1" bestFit="1" customWidth="1"/>
    <col min="1556" max="1556" width="11.6640625" style="1" customWidth="1"/>
    <col min="1557" max="1558" width="11.6640625" style="1" bestFit="1" customWidth="1"/>
    <col min="1559" max="1562" width="9.33203125" style="1" customWidth="1"/>
    <col min="1563" max="1791" width="9.109375" style="1"/>
    <col min="1792" max="1792" width="8.88671875" style="1" customWidth="1"/>
    <col min="1793" max="1793" width="11.44140625" style="1" customWidth="1"/>
    <col min="1794" max="1794" width="7.33203125" style="1" customWidth="1"/>
    <col min="1795" max="1795" width="7.44140625" style="1" bestFit="1" customWidth="1"/>
    <col min="1796" max="1796" width="8" style="1" bestFit="1" customWidth="1"/>
    <col min="1797" max="1797" width="8" style="1" customWidth="1"/>
    <col min="1798" max="1798" width="15.6640625" style="1" bestFit="1" customWidth="1"/>
    <col min="1799" max="1799" width="11.5546875" style="1" customWidth="1"/>
    <col min="1800" max="1800" width="12.88671875" style="1" bestFit="1" customWidth="1"/>
    <col min="1801" max="1801" width="11.33203125" style="1" customWidth="1"/>
    <col min="1802" max="1802" width="5.33203125" style="1" customWidth="1"/>
    <col min="1803" max="1803" width="74.5546875" style="1" customWidth="1"/>
    <col min="1804" max="1804" width="0" style="1" hidden="1" customWidth="1"/>
    <col min="1805" max="1805" width="9.6640625" style="1" bestFit="1" customWidth="1"/>
    <col min="1806" max="1806" width="9.33203125" style="1" bestFit="1" customWidth="1"/>
    <col min="1807" max="1807" width="12" style="1" customWidth="1"/>
    <col min="1808" max="1808" width="12.109375" style="1" customWidth="1"/>
    <col min="1809" max="1809" width="14.44140625" style="1" customWidth="1"/>
    <col min="1810" max="1810" width="11.6640625" style="1" customWidth="1"/>
    <col min="1811" max="1811" width="11.6640625" style="1" bestFit="1" customWidth="1"/>
    <col min="1812" max="1812" width="11.6640625" style="1" customWidth="1"/>
    <col min="1813" max="1814" width="11.6640625" style="1" bestFit="1" customWidth="1"/>
    <col min="1815" max="1818" width="9.33203125" style="1" customWidth="1"/>
    <col min="1819" max="2047" width="9.109375" style="1"/>
    <col min="2048" max="2048" width="8.88671875" style="1" customWidth="1"/>
    <col min="2049" max="2049" width="11.44140625" style="1" customWidth="1"/>
    <col min="2050" max="2050" width="7.33203125" style="1" customWidth="1"/>
    <col min="2051" max="2051" width="7.44140625" style="1" bestFit="1" customWidth="1"/>
    <col min="2052" max="2052" width="8" style="1" bestFit="1" customWidth="1"/>
    <col min="2053" max="2053" width="8" style="1" customWidth="1"/>
    <col min="2054" max="2054" width="15.6640625" style="1" bestFit="1" customWidth="1"/>
    <col min="2055" max="2055" width="11.5546875" style="1" customWidth="1"/>
    <col min="2056" max="2056" width="12.88671875" style="1" bestFit="1" customWidth="1"/>
    <col min="2057" max="2057" width="11.33203125" style="1" customWidth="1"/>
    <col min="2058" max="2058" width="5.33203125" style="1" customWidth="1"/>
    <col min="2059" max="2059" width="74.5546875" style="1" customWidth="1"/>
    <col min="2060" max="2060" width="0" style="1" hidden="1" customWidth="1"/>
    <col min="2061" max="2061" width="9.6640625" style="1" bestFit="1" customWidth="1"/>
    <col min="2062" max="2062" width="9.33203125" style="1" bestFit="1" customWidth="1"/>
    <col min="2063" max="2063" width="12" style="1" customWidth="1"/>
    <col min="2064" max="2064" width="12.109375" style="1" customWidth="1"/>
    <col min="2065" max="2065" width="14.44140625" style="1" customWidth="1"/>
    <col min="2066" max="2066" width="11.6640625" style="1" customWidth="1"/>
    <col min="2067" max="2067" width="11.6640625" style="1" bestFit="1" customWidth="1"/>
    <col min="2068" max="2068" width="11.6640625" style="1" customWidth="1"/>
    <col min="2069" max="2070" width="11.6640625" style="1" bestFit="1" customWidth="1"/>
    <col min="2071" max="2074" width="9.33203125" style="1" customWidth="1"/>
    <col min="2075" max="2303" width="9.109375" style="1"/>
    <col min="2304" max="2304" width="8.88671875" style="1" customWidth="1"/>
    <col min="2305" max="2305" width="11.44140625" style="1" customWidth="1"/>
    <col min="2306" max="2306" width="7.33203125" style="1" customWidth="1"/>
    <col min="2307" max="2307" width="7.44140625" style="1" bestFit="1" customWidth="1"/>
    <col min="2308" max="2308" width="8" style="1" bestFit="1" customWidth="1"/>
    <col min="2309" max="2309" width="8" style="1" customWidth="1"/>
    <col min="2310" max="2310" width="15.6640625" style="1" bestFit="1" customWidth="1"/>
    <col min="2311" max="2311" width="11.5546875" style="1" customWidth="1"/>
    <col min="2312" max="2312" width="12.88671875" style="1" bestFit="1" customWidth="1"/>
    <col min="2313" max="2313" width="11.33203125" style="1" customWidth="1"/>
    <col min="2314" max="2314" width="5.33203125" style="1" customWidth="1"/>
    <col min="2315" max="2315" width="74.5546875" style="1" customWidth="1"/>
    <col min="2316" max="2316" width="0" style="1" hidden="1" customWidth="1"/>
    <col min="2317" max="2317" width="9.6640625" style="1" bestFit="1" customWidth="1"/>
    <col min="2318" max="2318" width="9.33203125" style="1" bestFit="1" customWidth="1"/>
    <col min="2319" max="2319" width="12" style="1" customWidth="1"/>
    <col min="2320" max="2320" width="12.109375" style="1" customWidth="1"/>
    <col min="2321" max="2321" width="14.44140625" style="1" customWidth="1"/>
    <col min="2322" max="2322" width="11.6640625" style="1" customWidth="1"/>
    <col min="2323" max="2323" width="11.6640625" style="1" bestFit="1" customWidth="1"/>
    <col min="2324" max="2324" width="11.6640625" style="1" customWidth="1"/>
    <col min="2325" max="2326" width="11.6640625" style="1" bestFit="1" customWidth="1"/>
    <col min="2327" max="2330" width="9.33203125" style="1" customWidth="1"/>
    <col min="2331" max="2559" width="9.109375" style="1"/>
    <col min="2560" max="2560" width="8.88671875" style="1" customWidth="1"/>
    <col min="2561" max="2561" width="11.44140625" style="1" customWidth="1"/>
    <col min="2562" max="2562" width="7.33203125" style="1" customWidth="1"/>
    <col min="2563" max="2563" width="7.44140625" style="1" bestFit="1" customWidth="1"/>
    <col min="2564" max="2564" width="8" style="1" bestFit="1" customWidth="1"/>
    <col min="2565" max="2565" width="8" style="1" customWidth="1"/>
    <col min="2566" max="2566" width="15.6640625" style="1" bestFit="1" customWidth="1"/>
    <col min="2567" max="2567" width="11.5546875" style="1" customWidth="1"/>
    <col min="2568" max="2568" width="12.88671875" style="1" bestFit="1" customWidth="1"/>
    <col min="2569" max="2569" width="11.33203125" style="1" customWidth="1"/>
    <col min="2570" max="2570" width="5.33203125" style="1" customWidth="1"/>
    <col min="2571" max="2571" width="74.5546875" style="1" customWidth="1"/>
    <col min="2572" max="2572" width="0" style="1" hidden="1" customWidth="1"/>
    <col min="2573" max="2573" width="9.6640625" style="1" bestFit="1" customWidth="1"/>
    <col min="2574" max="2574" width="9.33203125" style="1" bestFit="1" customWidth="1"/>
    <col min="2575" max="2575" width="12" style="1" customWidth="1"/>
    <col min="2576" max="2576" width="12.109375" style="1" customWidth="1"/>
    <col min="2577" max="2577" width="14.44140625" style="1" customWidth="1"/>
    <col min="2578" max="2578" width="11.6640625" style="1" customWidth="1"/>
    <col min="2579" max="2579" width="11.6640625" style="1" bestFit="1" customWidth="1"/>
    <col min="2580" max="2580" width="11.6640625" style="1" customWidth="1"/>
    <col min="2581" max="2582" width="11.6640625" style="1" bestFit="1" customWidth="1"/>
    <col min="2583" max="2586" width="9.33203125" style="1" customWidth="1"/>
    <col min="2587" max="2815" width="9.109375" style="1"/>
    <col min="2816" max="2816" width="8.88671875" style="1" customWidth="1"/>
    <col min="2817" max="2817" width="11.44140625" style="1" customWidth="1"/>
    <col min="2818" max="2818" width="7.33203125" style="1" customWidth="1"/>
    <col min="2819" max="2819" width="7.44140625" style="1" bestFit="1" customWidth="1"/>
    <col min="2820" max="2820" width="8" style="1" bestFit="1" customWidth="1"/>
    <col min="2821" max="2821" width="8" style="1" customWidth="1"/>
    <col min="2822" max="2822" width="15.6640625" style="1" bestFit="1" customWidth="1"/>
    <col min="2823" max="2823" width="11.5546875" style="1" customWidth="1"/>
    <col min="2824" max="2824" width="12.88671875" style="1" bestFit="1" customWidth="1"/>
    <col min="2825" max="2825" width="11.33203125" style="1" customWidth="1"/>
    <col min="2826" max="2826" width="5.33203125" style="1" customWidth="1"/>
    <col min="2827" max="2827" width="74.5546875" style="1" customWidth="1"/>
    <col min="2828" max="2828" width="0" style="1" hidden="1" customWidth="1"/>
    <col min="2829" max="2829" width="9.6640625" style="1" bestFit="1" customWidth="1"/>
    <col min="2830" max="2830" width="9.33203125" style="1" bestFit="1" customWidth="1"/>
    <col min="2831" max="2831" width="12" style="1" customWidth="1"/>
    <col min="2832" max="2832" width="12.109375" style="1" customWidth="1"/>
    <col min="2833" max="2833" width="14.44140625" style="1" customWidth="1"/>
    <col min="2834" max="2834" width="11.6640625" style="1" customWidth="1"/>
    <col min="2835" max="2835" width="11.6640625" style="1" bestFit="1" customWidth="1"/>
    <col min="2836" max="2836" width="11.6640625" style="1" customWidth="1"/>
    <col min="2837" max="2838" width="11.6640625" style="1" bestFit="1" customWidth="1"/>
    <col min="2839" max="2842" width="9.33203125" style="1" customWidth="1"/>
    <col min="2843" max="3071" width="9.109375" style="1"/>
    <col min="3072" max="3072" width="8.88671875" style="1" customWidth="1"/>
    <col min="3073" max="3073" width="11.44140625" style="1" customWidth="1"/>
    <col min="3074" max="3074" width="7.33203125" style="1" customWidth="1"/>
    <col min="3075" max="3075" width="7.44140625" style="1" bestFit="1" customWidth="1"/>
    <col min="3076" max="3076" width="8" style="1" bestFit="1" customWidth="1"/>
    <col min="3077" max="3077" width="8" style="1" customWidth="1"/>
    <col min="3078" max="3078" width="15.6640625" style="1" bestFit="1" customWidth="1"/>
    <col min="3079" max="3079" width="11.5546875" style="1" customWidth="1"/>
    <col min="3080" max="3080" width="12.88671875" style="1" bestFit="1" customWidth="1"/>
    <col min="3081" max="3081" width="11.33203125" style="1" customWidth="1"/>
    <col min="3082" max="3082" width="5.33203125" style="1" customWidth="1"/>
    <col min="3083" max="3083" width="74.5546875" style="1" customWidth="1"/>
    <col min="3084" max="3084" width="0" style="1" hidden="1" customWidth="1"/>
    <col min="3085" max="3085" width="9.6640625" style="1" bestFit="1" customWidth="1"/>
    <col min="3086" max="3086" width="9.33203125" style="1" bestFit="1" customWidth="1"/>
    <col min="3087" max="3087" width="12" style="1" customWidth="1"/>
    <col min="3088" max="3088" width="12.109375" style="1" customWidth="1"/>
    <col min="3089" max="3089" width="14.44140625" style="1" customWidth="1"/>
    <col min="3090" max="3090" width="11.6640625" style="1" customWidth="1"/>
    <col min="3091" max="3091" width="11.6640625" style="1" bestFit="1" customWidth="1"/>
    <col min="3092" max="3092" width="11.6640625" style="1" customWidth="1"/>
    <col min="3093" max="3094" width="11.6640625" style="1" bestFit="1" customWidth="1"/>
    <col min="3095" max="3098" width="9.33203125" style="1" customWidth="1"/>
    <col min="3099" max="3327" width="9.109375" style="1"/>
    <col min="3328" max="3328" width="8.88671875" style="1" customWidth="1"/>
    <col min="3329" max="3329" width="11.44140625" style="1" customWidth="1"/>
    <col min="3330" max="3330" width="7.33203125" style="1" customWidth="1"/>
    <col min="3331" max="3331" width="7.44140625" style="1" bestFit="1" customWidth="1"/>
    <col min="3332" max="3332" width="8" style="1" bestFit="1" customWidth="1"/>
    <col min="3333" max="3333" width="8" style="1" customWidth="1"/>
    <col min="3334" max="3334" width="15.6640625" style="1" bestFit="1" customWidth="1"/>
    <col min="3335" max="3335" width="11.5546875" style="1" customWidth="1"/>
    <col min="3336" max="3336" width="12.88671875" style="1" bestFit="1" customWidth="1"/>
    <col min="3337" max="3337" width="11.33203125" style="1" customWidth="1"/>
    <col min="3338" max="3338" width="5.33203125" style="1" customWidth="1"/>
    <col min="3339" max="3339" width="74.5546875" style="1" customWidth="1"/>
    <col min="3340" max="3340" width="0" style="1" hidden="1" customWidth="1"/>
    <col min="3341" max="3341" width="9.6640625" style="1" bestFit="1" customWidth="1"/>
    <col min="3342" max="3342" width="9.33203125" style="1" bestFit="1" customWidth="1"/>
    <col min="3343" max="3343" width="12" style="1" customWidth="1"/>
    <col min="3344" max="3344" width="12.109375" style="1" customWidth="1"/>
    <col min="3345" max="3345" width="14.44140625" style="1" customWidth="1"/>
    <col min="3346" max="3346" width="11.6640625" style="1" customWidth="1"/>
    <col min="3347" max="3347" width="11.6640625" style="1" bestFit="1" customWidth="1"/>
    <col min="3348" max="3348" width="11.6640625" style="1" customWidth="1"/>
    <col min="3349" max="3350" width="11.6640625" style="1" bestFit="1" customWidth="1"/>
    <col min="3351" max="3354" width="9.33203125" style="1" customWidth="1"/>
    <col min="3355" max="3583" width="9.109375" style="1"/>
    <col min="3584" max="3584" width="8.88671875" style="1" customWidth="1"/>
    <col min="3585" max="3585" width="11.44140625" style="1" customWidth="1"/>
    <col min="3586" max="3586" width="7.33203125" style="1" customWidth="1"/>
    <col min="3587" max="3587" width="7.44140625" style="1" bestFit="1" customWidth="1"/>
    <col min="3588" max="3588" width="8" style="1" bestFit="1" customWidth="1"/>
    <col min="3589" max="3589" width="8" style="1" customWidth="1"/>
    <col min="3590" max="3590" width="15.6640625" style="1" bestFit="1" customWidth="1"/>
    <col min="3591" max="3591" width="11.5546875" style="1" customWidth="1"/>
    <col min="3592" max="3592" width="12.88671875" style="1" bestFit="1" customWidth="1"/>
    <col min="3593" max="3593" width="11.33203125" style="1" customWidth="1"/>
    <col min="3594" max="3594" width="5.33203125" style="1" customWidth="1"/>
    <col min="3595" max="3595" width="74.5546875" style="1" customWidth="1"/>
    <col min="3596" max="3596" width="0" style="1" hidden="1" customWidth="1"/>
    <col min="3597" max="3597" width="9.6640625" style="1" bestFit="1" customWidth="1"/>
    <col min="3598" max="3598" width="9.33203125" style="1" bestFit="1" customWidth="1"/>
    <col min="3599" max="3599" width="12" style="1" customWidth="1"/>
    <col min="3600" max="3600" width="12.109375" style="1" customWidth="1"/>
    <col min="3601" max="3601" width="14.44140625" style="1" customWidth="1"/>
    <col min="3602" max="3602" width="11.6640625" style="1" customWidth="1"/>
    <col min="3603" max="3603" width="11.6640625" style="1" bestFit="1" customWidth="1"/>
    <col min="3604" max="3604" width="11.6640625" style="1" customWidth="1"/>
    <col min="3605" max="3606" width="11.6640625" style="1" bestFit="1" customWidth="1"/>
    <col min="3607" max="3610" width="9.33203125" style="1" customWidth="1"/>
    <col min="3611" max="3839" width="9.109375" style="1"/>
    <col min="3840" max="3840" width="8.88671875" style="1" customWidth="1"/>
    <col min="3841" max="3841" width="11.44140625" style="1" customWidth="1"/>
    <col min="3842" max="3842" width="7.33203125" style="1" customWidth="1"/>
    <col min="3843" max="3843" width="7.44140625" style="1" bestFit="1" customWidth="1"/>
    <col min="3844" max="3844" width="8" style="1" bestFit="1" customWidth="1"/>
    <col min="3845" max="3845" width="8" style="1" customWidth="1"/>
    <col min="3846" max="3846" width="15.6640625" style="1" bestFit="1" customWidth="1"/>
    <col min="3847" max="3847" width="11.5546875" style="1" customWidth="1"/>
    <col min="3848" max="3848" width="12.88671875" style="1" bestFit="1" customWidth="1"/>
    <col min="3849" max="3849" width="11.33203125" style="1" customWidth="1"/>
    <col min="3850" max="3850" width="5.33203125" style="1" customWidth="1"/>
    <col min="3851" max="3851" width="74.5546875" style="1" customWidth="1"/>
    <col min="3852" max="3852" width="0" style="1" hidden="1" customWidth="1"/>
    <col min="3853" max="3853" width="9.6640625" style="1" bestFit="1" customWidth="1"/>
    <col min="3854" max="3854" width="9.33203125" style="1" bestFit="1" customWidth="1"/>
    <col min="3855" max="3855" width="12" style="1" customWidth="1"/>
    <col min="3856" max="3856" width="12.109375" style="1" customWidth="1"/>
    <col min="3857" max="3857" width="14.44140625" style="1" customWidth="1"/>
    <col min="3858" max="3858" width="11.6640625" style="1" customWidth="1"/>
    <col min="3859" max="3859" width="11.6640625" style="1" bestFit="1" customWidth="1"/>
    <col min="3860" max="3860" width="11.6640625" style="1" customWidth="1"/>
    <col min="3861" max="3862" width="11.6640625" style="1" bestFit="1" customWidth="1"/>
    <col min="3863" max="3866" width="9.33203125" style="1" customWidth="1"/>
    <col min="3867" max="4095" width="9.109375" style="1"/>
    <col min="4096" max="4096" width="8.88671875" style="1" customWidth="1"/>
    <col min="4097" max="4097" width="11.44140625" style="1" customWidth="1"/>
    <col min="4098" max="4098" width="7.33203125" style="1" customWidth="1"/>
    <col min="4099" max="4099" width="7.44140625" style="1" bestFit="1" customWidth="1"/>
    <col min="4100" max="4100" width="8" style="1" bestFit="1" customWidth="1"/>
    <col min="4101" max="4101" width="8" style="1" customWidth="1"/>
    <col min="4102" max="4102" width="15.6640625" style="1" bestFit="1" customWidth="1"/>
    <col min="4103" max="4103" width="11.5546875" style="1" customWidth="1"/>
    <col min="4104" max="4104" width="12.88671875" style="1" bestFit="1" customWidth="1"/>
    <col min="4105" max="4105" width="11.33203125" style="1" customWidth="1"/>
    <col min="4106" max="4106" width="5.33203125" style="1" customWidth="1"/>
    <col min="4107" max="4107" width="74.5546875" style="1" customWidth="1"/>
    <col min="4108" max="4108" width="0" style="1" hidden="1" customWidth="1"/>
    <col min="4109" max="4109" width="9.6640625" style="1" bestFit="1" customWidth="1"/>
    <col min="4110" max="4110" width="9.33203125" style="1" bestFit="1" customWidth="1"/>
    <col min="4111" max="4111" width="12" style="1" customWidth="1"/>
    <col min="4112" max="4112" width="12.109375" style="1" customWidth="1"/>
    <col min="4113" max="4113" width="14.44140625" style="1" customWidth="1"/>
    <col min="4114" max="4114" width="11.6640625" style="1" customWidth="1"/>
    <col min="4115" max="4115" width="11.6640625" style="1" bestFit="1" customWidth="1"/>
    <col min="4116" max="4116" width="11.6640625" style="1" customWidth="1"/>
    <col min="4117" max="4118" width="11.6640625" style="1" bestFit="1" customWidth="1"/>
    <col min="4119" max="4122" width="9.33203125" style="1" customWidth="1"/>
    <col min="4123" max="4351" width="9.109375" style="1"/>
    <col min="4352" max="4352" width="8.88671875" style="1" customWidth="1"/>
    <col min="4353" max="4353" width="11.44140625" style="1" customWidth="1"/>
    <col min="4354" max="4354" width="7.33203125" style="1" customWidth="1"/>
    <col min="4355" max="4355" width="7.44140625" style="1" bestFit="1" customWidth="1"/>
    <col min="4356" max="4356" width="8" style="1" bestFit="1" customWidth="1"/>
    <col min="4357" max="4357" width="8" style="1" customWidth="1"/>
    <col min="4358" max="4358" width="15.6640625" style="1" bestFit="1" customWidth="1"/>
    <col min="4359" max="4359" width="11.5546875" style="1" customWidth="1"/>
    <col min="4360" max="4360" width="12.88671875" style="1" bestFit="1" customWidth="1"/>
    <col min="4361" max="4361" width="11.33203125" style="1" customWidth="1"/>
    <col min="4362" max="4362" width="5.33203125" style="1" customWidth="1"/>
    <col min="4363" max="4363" width="74.5546875" style="1" customWidth="1"/>
    <col min="4364" max="4364" width="0" style="1" hidden="1" customWidth="1"/>
    <col min="4365" max="4365" width="9.6640625" style="1" bestFit="1" customWidth="1"/>
    <col min="4366" max="4366" width="9.33203125" style="1" bestFit="1" customWidth="1"/>
    <col min="4367" max="4367" width="12" style="1" customWidth="1"/>
    <col min="4368" max="4368" width="12.109375" style="1" customWidth="1"/>
    <col min="4369" max="4369" width="14.44140625" style="1" customWidth="1"/>
    <col min="4370" max="4370" width="11.6640625" style="1" customWidth="1"/>
    <col min="4371" max="4371" width="11.6640625" style="1" bestFit="1" customWidth="1"/>
    <col min="4372" max="4372" width="11.6640625" style="1" customWidth="1"/>
    <col min="4373" max="4374" width="11.6640625" style="1" bestFit="1" customWidth="1"/>
    <col min="4375" max="4378" width="9.33203125" style="1" customWidth="1"/>
    <col min="4379" max="4607" width="9.109375" style="1"/>
    <col min="4608" max="4608" width="8.88671875" style="1" customWidth="1"/>
    <col min="4609" max="4609" width="11.44140625" style="1" customWidth="1"/>
    <col min="4610" max="4610" width="7.33203125" style="1" customWidth="1"/>
    <col min="4611" max="4611" width="7.44140625" style="1" bestFit="1" customWidth="1"/>
    <col min="4612" max="4612" width="8" style="1" bestFit="1" customWidth="1"/>
    <col min="4613" max="4613" width="8" style="1" customWidth="1"/>
    <col min="4614" max="4614" width="15.6640625" style="1" bestFit="1" customWidth="1"/>
    <col min="4615" max="4615" width="11.5546875" style="1" customWidth="1"/>
    <col min="4616" max="4616" width="12.88671875" style="1" bestFit="1" customWidth="1"/>
    <col min="4617" max="4617" width="11.33203125" style="1" customWidth="1"/>
    <col min="4618" max="4618" width="5.33203125" style="1" customWidth="1"/>
    <col min="4619" max="4619" width="74.5546875" style="1" customWidth="1"/>
    <col min="4620" max="4620" width="0" style="1" hidden="1" customWidth="1"/>
    <col min="4621" max="4621" width="9.6640625" style="1" bestFit="1" customWidth="1"/>
    <col min="4622" max="4622" width="9.33203125" style="1" bestFit="1" customWidth="1"/>
    <col min="4623" max="4623" width="12" style="1" customWidth="1"/>
    <col min="4624" max="4624" width="12.109375" style="1" customWidth="1"/>
    <col min="4625" max="4625" width="14.44140625" style="1" customWidth="1"/>
    <col min="4626" max="4626" width="11.6640625" style="1" customWidth="1"/>
    <col min="4627" max="4627" width="11.6640625" style="1" bestFit="1" customWidth="1"/>
    <col min="4628" max="4628" width="11.6640625" style="1" customWidth="1"/>
    <col min="4629" max="4630" width="11.6640625" style="1" bestFit="1" customWidth="1"/>
    <col min="4631" max="4634" width="9.33203125" style="1" customWidth="1"/>
    <col min="4635" max="4863" width="9.109375" style="1"/>
    <col min="4864" max="4864" width="8.88671875" style="1" customWidth="1"/>
    <col min="4865" max="4865" width="11.44140625" style="1" customWidth="1"/>
    <col min="4866" max="4866" width="7.33203125" style="1" customWidth="1"/>
    <col min="4867" max="4867" width="7.44140625" style="1" bestFit="1" customWidth="1"/>
    <col min="4868" max="4868" width="8" style="1" bestFit="1" customWidth="1"/>
    <col min="4869" max="4869" width="8" style="1" customWidth="1"/>
    <col min="4870" max="4870" width="15.6640625" style="1" bestFit="1" customWidth="1"/>
    <col min="4871" max="4871" width="11.5546875" style="1" customWidth="1"/>
    <col min="4872" max="4872" width="12.88671875" style="1" bestFit="1" customWidth="1"/>
    <col min="4873" max="4873" width="11.33203125" style="1" customWidth="1"/>
    <col min="4874" max="4874" width="5.33203125" style="1" customWidth="1"/>
    <col min="4875" max="4875" width="74.5546875" style="1" customWidth="1"/>
    <col min="4876" max="4876" width="0" style="1" hidden="1" customWidth="1"/>
    <col min="4877" max="4877" width="9.6640625" style="1" bestFit="1" customWidth="1"/>
    <col min="4878" max="4878" width="9.33203125" style="1" bestFit="1" customWidth="1"/>
    <col min="4879" max="4879" width="12" style="1" customWidth="1"/>
    <col min="4880" max="4880" width="12.109375" style="1" customWidth="1"/>
    <col min="4881" max="4881" width="14.44140625" style="1" customWidth="1"/>
    <col min="4882" max="4882" width="11.6640625" style="1" customWidth="1"/>
    <col min="4883" max="4883" width="11.6640625" style="1" bestFit="1" customWidth="1"/>
    <col min="4884" max="4884" width="11.6640625" style="1" customWidth="1"/>
    <col min="4885" max="4886" width="11.6640625" style="1" bestFit="1" customWidth="1"/>
    <col min="4887" max="4890" width="9.33203125" style="1" customWidth="1"/>
    <col min="4891" max="5119" width="9.109375" style="1"/>
    <col min="5120" max="5120" width="8.88671875" style="1" customWidth="1"/>
    <col min="5121" max="5121" width="11.44140625" style="1" customWidth="1"/>
    <col min="5122" max="5122" width="7.33203125" style="1" customWidth="1"/>
    <col min="5123" max="5123" width="7.44140625" style="1" bestFit="1" customWidth="1"/>
    <col min="5124" max="5124" width="8" style="1" bestFit="1" customWidth="1"/>
    <col min="5125" max="5125" width="8" style="1" customWidth="1"/>
    <col min="5126" max="5126" width="15.6640625" style="1" bestFit="1" customWidth="1"/>
    <col min="5127" max="5127" width="11.5546875" style="1" customWidth="1"/>
    <col min="5128" max="5128" width="12.88671875" style="1" bestFit="1" customWidth="1"/>
    <col min="5129" max="5129" width="11.33203125" style="1" customWidth="1"/>
    <col min="5130" max="5130" width="5.33203125" style="1" customWidth="1"/>
    <col min="5131" max="5131" width="74.5546875" style="1" customWidth="1"/>
    <col min="5132" max="5132" width="0" style="1" hidden="1" customWidth="1"/>
    <col min="5133" max="5133" width="9.6640625" style="1" bestFit="1" customWidth="1"/>
    <col min="5134" max="5134" width="9.33203125" style="1" bestFit="1" customWidth="1"/>
    <col min="5135" max="5135" width="12" style="1" customWidth="1"/>
    <col min="5136" max="5136" width="12.109375" style="1" customWidth="1"/>
    <col min="5137" max="5137" width="14.44140625" style="1" customWidth="1"/>
    <col min="5138" max="5138" width="11.6640625" style="1" customWidth="1"/>
    <col min="5139" max="5139" width="11.6640625" style="1" bestFit="1" customWidth="1"/>
    <col min="5140" max="5140" width="11.6640625" style="1" customWidth="1"/>
    <col min="5141" max="5142" width="11.6640625" style="1" bestFit="1" customWidth="1"/>
    <col min="5143" max="5146" width="9.33203125" style="1" customWidth="1"/>
    <col min="5147" max="5375" width="9.109375" style="1"/>
    <col min="5376" max="5376" width="8.88671875" style="1" customWidth="1"/>
    <col min="5377" max="5377" width="11.44140625" style="1" customWidth="1"/>
    <col min="5378" max="5378" width="7.33203125" style="1" customWidth="1"/>
    <col min="5379" max="5379" width="7.44140625" style="1" bestFit="1" customWidth="1"/>
    <col min="5380" max="5380" width="8" style="1" bestFit="1" customWidth="1"/>
    <col min="5381" max="5381" width="8" style="1" customWidth="1"/>
    <col min="5382" max="5382" width="15.6640625" style="1" bestFit="1" customWidth="1"/>
    <col min="5383" max="5383" width="11.5546875" style="1" customWidth="1"/>
    <col min="5384" max="5384" width="12.88671875" style="1" bestFit="1" customWidth="1"/>
    <col min="5385" max="5385" width="11.33203125" style="1" customWidth="1"/>
    <col min="5386" max="5386" width="5.33203125" style="1" customWidth="1"/>
    <col min="5387" max="5387" width="74.5546875" style="1" customWidth="1"/>
    <col min="5388" max="5388" width="0" style="1" hidden="1" customWidth="1"/>
    <col min="5389" max="5389" width="9.6640625" style="1" bestFit="1" customWidth="1"/>
    <col min="5390" max="5390" width="9.33203125" style="1" bestFit="1" customWidth="1"/>
    <col min="5391" max="5391" width="12" style="1" customWidth="1"/>
    <col min="5392" max="5392" width="12.109375" style="1" customWidth="1"/>
    <col min="5393" max="5393" width="14.44140625" style="1" customWidth="1"/>
    <col min="5394" max="5394" width="11.6640625" style="1" customWidth="1"/>
    <col min="5395" max="5395" width="11.6640625" style="1" bestFit="1" customWidth="1"/>
    <col min="5396" max="5396" width="11.6640625" style="1" customWidth="1"/>
    <col min="5397" max="5398" width="11.6640625" style="1" bestFit="1" customWidth="1"/>
    <col min="5399" max="5402" width="9.33203125" style="1" customWidth="1"/>
    <col min="5403" max="5631" width="9.109375" style="1"/>
    <col min="5632" max="5632" width="8.88671875" style="1" customWidth="1"/>
    <col min="5633" max="5633" width="11.44140625" style="1" customWidth="1"/>
    <col min="5634" max="5634" width="7.33203125" style="1" customWidth="1"/>
    <col min="5635" max="5635" width="7.44140625" style="1" bestFit="1" customWidth="1"/>
    <col min="5636" max="5636" width="8" style="1" bestFit="1" customWidth="1"/>
    <col min="5637" max="5637" width="8" style="1" customWidth="1"/>
    <col min="5638" max="5638" width="15.6640625" style="1" bestFit="1" customWidth="1"/>
    <col min="5639" max="5639" width="11.5546875" style="1" customWidth="1"/>
    <col min="5640" max="5640" width="12.88671875" style="1" bestFit="1" customWidth="1"/>
    <col min="5641" max="5641" width="11.33203125" style="1" customWidth="1"/>
    <col min="5642" max="5642" width="5.33203125" style="1" customWidth="1"/>
    <col min="5643" max="5643" width="74.5546875" style="1" customWidth="1"/>
    <col min="5644" max="5644" width="0" style="1" hidden="1" customWidth="1"/>
    <col min="5645" max="5645" width="9.6640625" style="1" bestFit="1" customWidth="1"/>
    <col min="5646" max="5646" width="9.33203125" style="1" bestFit="1" customWidth="1"/>
    <col min="5647" max="5647" width="12" style="1" customWidth="1"/>
    <col min="5648" max="5648" width="12.109375" style="1" customWidth="1"/>
    <col min="5649" max="5649" width="14.44140625" style="1" customWidth="1"/>
    <col min="5650" max="5650" width="11.6640625" style="1" customWidth="1"/>
    <col min="5651" max="5651" width="11.6640625" style="1" bestFit="1" customWidth="1"/>
    <col min="5652" max="5652" width="11.6640625" style="1" customWidth="1"/>
    <col min="5653" max="5654" width="11.6640625" style="1" bestFit="1" customWidth="1"/>
    <col min="5655" max="5658" width="9.33203125" style="1" customWidth="1"/>
    <col min="5659" max="5887" width="9.109375" style="1"/>
    <col min="5888" max="5888" width="8.88671875" style="1" customWidth="1"/>
    <col min="5889" max="5889" width="11.44140625" style="1" customWidth="1"/>
    <col min="5890" max="5890" width="7.33203125" style="1" customWidth="1"/>
    <col min="5891" max="5891" width="7.44140625" style="1" bestFit="1" customWidth="1"/>
    <col min="5892" max="5892" width="8" style="1" bestFit="1" customWidth="1"/>
    <col min="5893" max="5893" width="8" style="1" customWidth="1"/>
    <col min="5894" max="5894" width="15.6640625" style="1" bestFit="1" customWidth="1"/>
    <col min="5895" max="5895" width="11.5546875" style="1" customWidth="1"/>
    <col min="5896" max="5896" width="12.88671875" style="1" bestFit="1" customWidth="1"/>
    <col min="5897" max="5897" width="11.33203125" style="1" customWidth="1"/>
    <col min="5898" max="5898" width="5.33203125" style="1" customWidth="1"/>
    <col min="5899" max="5899" width="74.5546875" style="1" customWidth="1"/>
    <col min="5900" max="5900" width="0" style="1" hidden="1" customWidth="1"/>
    <col min="5901" max="5901" width="9.6640625" style="1" bestFit="1" customWidth="1"/>
    <col min="5902" max="5902" width="9.33203125" style="1" bestFit="1" customWidth="1"/>
    <col min="5903" max="5903" width="12" style="1" customWidth="1"/>
    <col min="5904" max="5904" width="12.109375" style="1" customWidth="1"/>
    <col min="5905" max="5905" width="14.44140625" style="1" customWidth="1"/>
    <col min="5906" max="5906" width="11.6640625" style="1" customWidth="1"/>
    <col min="5907" max="5907" width="11.6640625" style="1" bestFit="1" customWidth="1"/>
    <col min="5908" max="5908" width="11.6640625" style="1" customWidth="1"/>
    <col min="5909" max="5910" width="11.6640625" style="1" bestFit="1" customWidth="1"/>
    <col min="5911" max="5914" width="9.33203125" style="1" customWidth="1"/>
    <col min="5915" max="6143" width="9.109375" style="1"/>
    <col min="6144" max="6144" width="8.88671875" style="1" customWidth="1"/>
    <col min="6145" max="6145" width="11.44140625" style="1" customWidth="1"/>
    <col min="6146" max="6146" width="7.33203125" style="1" customWidth="1"/>
    <col min="6147" max="6147" width="7.44140625" style="1" bestFit="1" customWidth="1"/>
    <col min="6148" max="6148" width="8" style="1" bestFit="1" customWidth="1"/>
    <col min="6149" max="6149" width="8" style="1" customWidth="1"/>
    <col min="6150" max="6150" width="15.6640625" style="1" bestFit="1" customWidth="1"/>
    <col min="6151" max="6151" width="11.5546875" style="1" customWidth="1"/>
    <col min="6152" max="6152" width="12.88671875" style="1" bestFit="1" customWidth="1"/>
    <col min="6153" max="6153" width="11.33203125" style="1" customWidth="1"/>
    <col min="6154" max="6154" width="5.33203125" style="1" customWidth="1"/>
    <col min="6155" max="6155" width="74.5546875" style="1" customWidth="1"/>
    <col min="6156" max="6156" width="0" style="1" hidden="1" customWidth="1"/>
    <col min="6157" max="6157" width="9.6640625" style="1" bestFit="1" customWidth="1"/>
    <col min="6158" max="6158" width="9.33203125" style="1" bestFit="1" customWidth="1"/>
    <col min="6159" max="6159" width="12" style="1" customWidth="1"/>
    <col min="6160" max="6160" width="12.109375" style="1" customWidth="1"/>
    <col min="6161" max="6161" width="14.44140625" style="1" customWidth="1"/>
    <col min="6162" max="6162" width="11.6640625" style="1" customWidth="1"/>
    <col min="6163" max="6163" width="11.6640625" style="1" bestFit="1" customWidth="1"/>
    <col min="6164" max="6164" width="11.6640625" style="1" customWidth="1"/>
    <col min="6165" max="6166" width="11.6640625" style="1" bestFit="1" customWidth="1"/>
    <col min="6167" max="6170" width="9.33203125" style="1" customWidth="1"/>
    <col min="6171" max="6399" width="9.109375" style="1"/>
    <col min="6400" max="6400" width="8.88671875" style="1" customWidth="1"/>
    <col min="6401" max="6401" width="11.44140625" style="1" customWidth="1"/>
    <col min="6402" max="6402" width="7.33203125" style="1" customWidth="1"/>
    <col min="6403" max="6403" width="7.44140625" style="1" bestFit="1" customWidth="1"/>
    <col min="6404" max="6404" width="8" style="1" bestFit="1" customWidth="1"/>
    <col min="6405" max="6405" width="8" style="1" customWidth="1"/>
    <col min="6406" max="6406" width="15.6640625" style="1" bestFit="1" customWidth="1"/>
    <col min="6407" max="6407" width="11.5546875" style="1" customWidth="1"/>
    <col min="6408" max="6408" width="12.88671875" style="1" bestFit="1" customWidth="1"/>
    <col min="6409" max="6409" width="11.33203125" style="1" customWidth="1"/>
    <col min="6410" max="6410" width="5.33203125" style="1" customWidth="1"/>
    <col min="6411" max="6411" width="74.5546875" style="1" customWidth="1"/>
    <col min="6412" max="6412" width="0" style="1" hidden="1" customWidth="1"/>
    <col min="6413" max="6413" width="9.6640625" style="1" bestFit="1" customWidth="1"/>
    <col min="6414" max="6414" width="9.33203125" style="1" bestFit="1" customWidth="1"/>
    <col min="6415" max="6415" width="12" style="1" customWidth="1"/>
    <col min="6416" max="6416" width="12.109375" style="1" customWidth="1"/>
    <col min="6417" max="6417" width="14.44140625" style="1" customWidth="1"/>
    <col min="6418" max="6418" width="11.6640625" style="1" customWidth="1"/>
    <col min="6419" max="6419" width="11.6640625" style="1" bestFit="1" customWidth="1"/>
    <col min="6420" max="6420" width="11.6640625" style="1" customWidth="1"/>
    <col min="6421" max="6422" width="11.6640625" style="1" bestFit="1" customWidth="1"/>
    <col min="6423" max="6426" width="9.33203125" style="1" customWidth="1"/>
    <col min="6427" max="6655" width="9.109375" style="1"/>
    <col min="6656" max="6656" width="8.88671875" style="1" customWidth="1"/>
    <col min="6657" max="6657" width="11.44140625" style="1" customWidth="1"/>
    <col min="6658" max="6658" width="7.33203125" style="1" customWidth="1"/>
    <col min="6659" max="6659" width="7.44140625" style="1" bestFit="1" customWidth="1"/>
    <col min="6660" max="6660" width="8" style="1" bestFit="1" customWidth="1"/>
    <col min="6661" max="6661" width="8" style="1" customWidth="1"/>
    <col min="6662" max="6662" width="15.6640625" style="1" bestFit="1" customWidth="1"/>
    <col min="6663" max="6663" width="11.5546875" style="1" customWidth="1"/>
    <col min="6664" max="6664" width="12.88671875" style="1" bestFit="1" customWidth="1"/>
    <col min="6665" max="6665" width="11.33203125" style="1" customWidth="1"/>
    <col min="6666" max="6666" width="5.33203125" style="1" customWidth="1"/>
    <col min="6667" max="6667" width="74.5546875" style="1" customWidth="1"/>
    <col min="6668" max="6668" width="0" style="1" hidden="1" customWidth="1"/>
    <col min="6669" max="6669" width="9.6640625" style="1" bestFit="1" customWidth="1"/>
    <col min="6670" max="6670" width="9.33203125" style="1" bestFit="1" customWidth="1"/>
    <col min="6671" max="6671" width="12" style="1" customWidth="1"/>
    <col min="6672" max="6672" width="12.109375" style="1" customWidth="1"/>
    <col min="6673" max="6673" width="14.44140625" style="1" customWidth="1"/>
    <col min="6674" max="6674" width="11.6640625" style="1" customWidth="1"/>
    <col min="6675" max="6675" width="11.6640625" style="1" bestFit="1" customWidth="1"/>
    <col min="6676" max="6676" width="11.6640625" style="1" customWidth="1"/>
    <col min="6677" max="6678" width="11.6640625" style="1" bestFit="1" customWidth="1"/>
    <col min="6679" max="6682" width="9.33203125" style="1" customWidth="1"/>
    <col min="6683" max="6911" width="9.109375" style="1"/>
    <col min="6912" max="6912" width="8.88671875" style="1" customWidth="1"/>
    <col min="6913" max="6913" width="11.44140625" style="1" customWidth="1"/>
    <col min="6914" max="6914" width="7.33203125" style="1" customWidth="1"/>
    <col min="6915" max="6915" width="7.44140625" style="1" bestFit="1" customWidth="1"/>
    <col min="6916" max="6916" width="8" style="1" bestFit="1" customWidth="1"/>
    <col min="6917" max="6917" width="8" style="1" customWidth="1"/>
    <col min="6918" max="6918" width="15.6640625" style="1" bestFit="1" customWidth="1"/>
    <col min="6919" max="6919" width="11.5546875" style="1" customWidth="1"/>
    <col min="6920" max="6920" width="12.88671875" style="1" bestFit="1" customWidth="1"/>
    <col min="6921" max="6921" width="11.33203125" style="1" customWidth="1"/>
    <col min="6922" max="6922" width="5.33203125" style="1" customWidth="1"/>
    <col min="6923" max="6923" width="74.5546875" style="1" customWidth="1"/>
    <col min="6924" max="6924" width="0" style="1" hidden="1" customWidth="1"/>
    <col min="6925" max="6925" width="9.6640625" style="1" bestFit="1" customWidth="1"/>
    <col min="6926" max="6926" width="9.33203125" style="1" bestFit="1" customWidth="1"/>
    <col min="6927" max="6927" width="12" style="1" customWidth="1"/>
    <col min="6928" max="6928" width="12.109375" style="1" customWidth="1"/>
    <col min="6929" max="6929" width="14.44140625" style="1" customWidth="1"/>
    <col min="6930" max="6930" width="11.6640625" style="1" customWidth="1"/>
    <col min="6931" max="6931" width="11.6640625" style="1" bestFit="1" customWidth="1"/>
    <col min="6932" max="6932" width="11.6640625" style="1" customWidth="1"/>
    <col min="6933" max="6934" width="11.6640625" style="1" bestFit="1" customWidth="1"/>
    <col min="6935" max="6938" width="9.33203125" style="1" customWidth="1"/>
    <col min="6939" max="7167" width="9.109375" style="1"/>
    <col min="7168" max="7168" width="8.88671875" style="1" customWidth="1"/>
    <col min="7169" max="7169" width="11.44140625" style="1" customWidth="1"/>
    <col min="7170" max="7170" width="7.33203125" style="1" customWidth="1"/>
    <col min="7171" max="7171" width="7.44140625" style="1" bestFit="1" customWidth="1"/>
    <col min="7172" max="7172" width="8" style="1" bestFit="1" customWidth="1"/>
    <col min="7173" max="7173" width="8" style="1" customWidth="1"/>
    <col min="7174" max="7174" width="15.6640625" style="1" bestFit="1" customWidth="1"/>
    <col min="7175" max="7175" width="11.5546875" style="1" customWidth="1"/>
    <col min="7176" max="7176" width="12.88671875" style="1" bestFit="1" customWidth="1"/>
    <col min="7177" max="7177" width="11.33203125" style="1" customWidth="1"/>
    <col min="7178" max="7178" width="5.33203125" style="1" customWidth="1"/>
    <col min="7179" max="7179" width="74.5546875" style="1" customWidth="1"/>
    <col min="7180" max="7180" width="0" style="1" hidden="1" customWidth="1"/>
    <col min="7181" max="7181" width="9.6640625" style="1" bestFit="1" customWidth="1"/>
    <col min="7182" max="7182" width="9.33203125" style="1" bestFit="1" customWidth="1"/>
    <col min="7183" max="7183" width="12" style="1" customWidth="1"/>
    <col min="7184" max="7184" width="12.109375" style="1" customWidth="1"/>
    <col min="7185" max="7185" width="14.44140625" style="1" customWidth="1"/>
    <col min="7186" max="7186" width="11.6640625" style="1" customWidth="1"/>
    <col min="7187" max="7187" width="11.6640625" style="1" bestFit="1" customWidth="1"/>
    <col min="7188" max="7188" width="11.6640625" style="1" customWidth="1"/>
    <col min="7189" max="7190" width="11.6640625" style="1" bestFit="1" customWidth="1"/>
    <col min="7191" max="7194" width="9.33203125" style="1" customWidth="1"/>
    <col min="7195" max="7423" width="9.109375" style="1"/>
    <col min="7424" max="7424" width="8.88671875" style="1" customWidth="1"/>
    <col min="7425" max="7425" width="11.44140625" style="1" customWidth="1"/>
    <col min="7426" max="7426" width="7.33203125" style="1" customWidth="1"/>
    <col min="7427" max="7427" width="7.44140625" style="1" bestFit="1" customWidth="1"/>
    <col min="7428" max="7428" width="8" style="1" bestFit="1" customWidth="1"/>
    <col min="7429" max="7429" width="8" style="1" customWidth="1"/>
    <col min="7430" max="7430" width="15.6640625" style="1" bestFit="1" customWidth="1"/>
    <col min="7431" max="7431" width="11.5546875" style="1" customWidth="1"/>
    <col min="7432" max="7432" width="12.88671875" style="1" bestFit="1" customWidth="1"/>
    <col min="7433" max="7433" width="11.33203125" style="1" customWidth="1"/>
    <col min="7434" max="7434" width="5.33203125" style="1" customWidth="1"/>
    <col min="7435" max="7435" width="74.5546875" style="1" customWidth="1"/>
    <col min="7436" max="7436" width="0" style="1" hidden="1" customWidth="1"/>
    <col min="7437" max="7437" width="9.6640625" style="1" bestFit="1" customWidth="1"/>
    <col min="7438" max="7438" width="9.33203125" style="1" bestFit="1" customWidth="1"/>
    <col min="7439" max="7439" width="12" style="1" customWidth="1"/>
    <col min="7440" max="7440" width="12.109375" style="1" customWidth="1"/>
    <col min="7441" max="7441" width="14.44140625" style="1" customWidth="1"/>
    <col min="7442" max="7442" width="11.6640625" style="1" customWidth="1"/>
    <col min="7443" max="7443" width="11.6640625" style="1" bestFit="1" customWidth="1"/>
    <col min="7444" max="7444" width="11.6640625" style="1" customWidth="1"/>
    <col min="7445" max="7446" width="11.6640625" style="1" bestFit="1" customWidth="1"/>
    <col min="7447" max="7450" width="9.33203125" style="1" customWidth="1"/>
    <col min="7451" max="7679" width="9.109375" style="1"/>
    <col min="7680" max="7680" width="8.88671875" style="1" customWidth="1"/>
    <col min="7681" max="7681" width="11.44140625" style="1" customWidth="1"/>
    <col min="7682" max="7682" width="7.33203125" style="1" customWidth="1"/>
    <col min="7683" max="7683" width="7.44140625" style="1" bestFit="1" customWidth="1"/>
    <col min="7684" max="7684" width="8" style="1" bestFit="1" customWidth="1"/>
    <col min="7685" max="7685" width="8" style="1" customWidth="1"/>
    <col min="7686" max="7686" width="15.6640625" style="1" bestFit="1" customWidth="1"/>
    <col min="7687" max="7687" width="11.5546875" style="1" customWidth="1"/>
    <col min="7688" max="7688" width="12.88671875" style="1" bestFit="1" customWidth="1"/>
    <col min="7689" max="7689" width="11.33203125" style="1" customWidth="1"/>
    <col min="7690" max="7690" width="5.33203125" style="1" customWidth="1"/>
    <col min="7691" max="7691" width="74.5546875" style="1" customWidth="1"/>
    <col min="7692" max="7692" width="0" style="1" hidden="1" customWidth="1"/>
    <col min="7693" max="7693" width="9.6640625" style="1" bestFit="1" customWidth="1"/>
    <col min="7694" max="7694" width="9.33203125" style="1" bestFit="1" customWidth="1"/>
    <col min="7695" max="7695" width="12" style="1" customWidth="1"/>
    <col min="7696" max="7696" width="12.109375" style="1" customWidth="1"/>
    <col min="7697" max="7697" width="14.44140625" style="1" customWidth="1"/>
    <col min="7698" max="7698" width="11.6640625" style="1" customWidth="1"/>
    <col min="7699" max="7699" width="11.6640625" style="1" bestFit="1" customWidth="1"/>
    <col min="7700" max="7700" width="11.6640625" style="1" customWidth="1"/>
    <col min="7701" max="7702" width="11.6640625" style="1" bestFit="1" customWidth="1"/>
    <col min="7703" max="7706" width="9.33203125" style="1" customWidth="1"/>
    <col min="7707" max="7935" width="9.109375" style="1"/>
    <col min="7936" max="7936" width="8.88671875" style="1" customWidth="1"/>
    <col min="7937" max="7937" width="11.44140625" style="1" customWidth="1"/>
    <col min="7938" max="7938" width="7.33203125" style="1" customWidth="1"/>
    <col min="7939" max="7939" width="7.44140625" style="1" bestFit="1" customWidth="1"/>
    <col min="7940" max="7940" width="8" style="1" bestFit="1" customWidth="1"/>
    <col min="7941" max="7941" width="8" style="1" customWidth="1"/>
    <col min="7942" max="7942" width="15.6640625" style="1" bestFit="1" customWidth="1"/>
    <col min="7943" max="7943" width="11.5546875" style="1" customWidth="1"/>
    <col min="7944" max="7944" width="12.88671875" style="1" bestFit="1" customWidth="1"/>
    <col min="7945" max="7945" width="11.33203125" style="1" customWidth="1"/>
    <col min="7946" max="7946" width="5.33203125" style="1" customWidth="1"/>
    <col min="7947" max="7947" width="74.5546875" style="1" customWidth="1"/>
    <col min="7948" max="7948" width="0" style="1" hidden="1" customWidth="1"/>
    <col min="7949" max="7949" width="9.6640625" style="1" bestFit="1" customWidth="1"/>
    <col min="7950" max="7950" width="9.33203125" style="1" bestFit="1" customWidth="1"/>
    <col min="7951" max="7951" width="12" style="1" customWidth="1"/>
    <col min="7952" max="7952" width="12.109375" style="1" customWidth="1"/>
    <col min="7953" max="7953" width="14.44140625" style="1" customWidth="1"/>
    <col min="7954" max="7954" width="11.6640625" style="1" customWidth="1"/>
    <col min="7955" max="7955" width="11.6640625" style="1" bestFit="1" customWidth="1"/>
    <col min="7956" max="7956" width="11.6640625" style="1" customWidth="1"/>
    <col min="7957" max="7958" width="11.6640625" style="1" bestFit="1" customWidth="1"/>
    <col min="7959" max="7962" width="9.33203125" style="1" customWidth="1"/>
    <col min="7963" max="8191" width="9.109375" style="1"/>
    <col min="8192" max="8192" width="8.88671875" style="1" customWidth="1"/>
    <col min="8193" max="8193" width="11.44140625" style="1" customWidth="1"/>
    <col min="8194" max="8194" width="7.33203125" style="1" customWidth="1"/>
    <col min="8195" max="8195" width="7.44140625" style="1" bestFit="1" customWidth="1"/>
    <col min="8196" max="8196" width="8" style="1" bestFit="1" customWidth="1"/>
    <col min="8197" max="8197" width="8" style="1" customWidth="1"/>
    <col min="8198" max="8198" width="15.6640625" style="1" bestFit="1" customWidth="1"/>
    <col min="8199" max="8199" width="11.5546875" style="1" customWidth="1"/>
    <col min="8200" max="8200" width="12.88671875" style="1" bestFit="1" customWidth="1"/>
    <col min="8201" max="8201" width="11.33203125" style="1" customWidth="1"/>
    <col min="8202" max="8202" width="5.33203125" style="1" customWidth="1"/>
    <col min="8203" max="8203" width="74.5546875" style="1" customWidth="1"/>
    <col min="8204" max="8204" width="0" style="1" hidden="1" customWidth="1"/>
    <col min="8205" max="8205" width="9.6640625" style="1" bestFit="1" customWidth="1"/>
    <col min="8206" max="8206" width="9.33203125" style="1" bestFit="1" customWidth="1"/>
    <col min="8207" max="8207" width="12" style="1" customWidth="1"/>
    <col min="8208" max="8208" width="12.109375" style="1" customWidth="1"/>
    <col min="8209" max="8209" width="14.44140625" style="1" customWidth="1"/>
    <col min="8210" max="8210" width="11.6640625" style="1" customWidth="1"/>
    <col min="8211" max="8211" width="11.6640625" style="1" bestFit="1" customWidth="1"/>
    <col min="8212" max="8212" width="11.6640625" style="1" customWidth="1"/>
    <col min="8213" max="8214" width="11.6640625" style="1" bestFit="1" customWidth="1"/>
    <col min="8215" max="8218" width="9.33203125" style="1" customWidth="1"/>
    <col min="8219" max="8447" width="9.109375" style="1"/>
    <col min="8448" max="8448" width="8.88671875" style="1" customWidth="1"/>
    <col min="8449" max="8449" width="11.44140625" style="1" customWidth="1"/>
    <col min="8450" max="8450" width="7.33203125" style="1" customWidth="1"/>
    <col min="8451" max="8451" width="7.44140625" style="1" bestFit="1" customWidth="1"/>
    <col min="8452" max="8452" width="8" style="1" bestFit="1" customWidth="1"/>
    <col min="8453" max="8453" width="8" style="1" customWidth="1"/>
    <col min="8454" max="8454" width="15.6640625" style="1" bestFit="1" customWidth="1"/>
    <col min="8455" max="8455" width="11.5546875" style="1" customWidth="1"/>
    <col min="8456" max="8456" width="12.88671875" style="1" bestFit="1" customWidth="1"/>
    <col min="8457" max="8457" width="11.33203125" style="1" customWidth="1"/>
    <col min="8458" max="8458" width="5.33203125" style="1" customWidth="1"/>
    <col min="8459" max="8459" width="74.5546875" style="1" customWidth="1"/>
    <col min="8460" max="8460" width="0" style="1" hidden="1" customWidth="1"/>
    <col min="8461" max="8461" width="9.6640625" style="1" bestFit="1" customWidth="1"/>
    <col min="8462" max="8462" width="9.33203125" style="1" bestFit="1" customWidth="1"/>
    <col min="8463" max="8463" width="12" style="1" customWidth="1"/>
    <col min="8464" max="8464" width="12.109375" style="1" customWidth="1"/>
    <col min="8465" max="8465" width="14.44140625" style="1" customWidth="1"/>
    <col min="8466" max="8466" width="11.6640625" style="1" customWidth="1"/>
    <col min="8467" max="8467" width="11.6640625" style="1" bestFit="1" customWidth="1"/>
    <col min="8468" max="8468" width="11.6640625" style="1" customWidth="1"/>
    <col min="8469" max="8470" width="11.6640625" style="1" bestFit="1" customWidth="1"/>
    <col min="8471" max="8474" width="9.33203125" style="1" customWidth="1"/>
    <col min="8475" max="8703" width="9.109375" style="1"/>
    <col min="8704" max="8704" width="8.88671875" style="1" customWidth="1"/>
    <col min="8705" max="8705" width="11.44140625" style="1" customWidth="1"/>
    <col min="8706" max="8706" width="7.33203125" style="1" customWidth="1"/>
    <col min="8707" max="8707" width="7.44140625" style="1" bestFit="1" customWidth="1"/>
    <col min="8708" max="8708" width="8" style="1" bestFit="1" customWidth="1"/>
    <col min="8709" max="8709" width="8" style="1" customWidth="1"/>
    <col min="8710" max="8710" width="15.6640625" style="1" bestFit="1" customWidth="1"/>
    <col min="8711" max="8711" width="11.5546875" style="1" customWidth="1"/>
    <col min="8712" max="8712" width="12.88671875" style="1" bestFit="1" customWidth="1"/>
    <col min="8713" max="8713" width="11.33203125" style="1" customWidth="1"/>
    <col min="8714" max="8714" width="5.33203125" style="1" customWidth="1"/>
    <col min="8715" max="8715" width="74.5546875" style="1" customWidth="1"/>
    <col min="8716" max="8716" width="0" style="1" hidden="1" customWidth="1"/>
    <col min="8717" max="8717" width="9.6640625" style="1" bestFit="1" customWidth="1"/>
    <col min="8718" max="8718" width="9.33203125" style="1" bestFit="1" customWidth="1"/>
    <col min="8719" max="8719" width="12" style="1" customWidth="1"/>
    <col min="8720" max="8720" width="12.109375" style="1" customWidth="1"/>
    <col min="8721" max="8721" width="14.44140625" style="1" customWidth="1"/>
    <col min="8722" max="8722" width="11.6640625" style="1" customWidth="1"/>
    <col min="8723" max="8723" width="11.6640625" style="1" bestFit="1" customWidth="1"/>
    <col min="8724" max="8724" width="11.6640625" style="1" customWidth="1"/>
    <col min="8725" max="8726" width="11.6640625" style="1" bestFit="1" customWidth="1"/>
    <col min="8727" max="8730" width="9.33203125" style="1" customWidth="1"/>
    <col min="8731" max="8959" width="9.109375" style="1"/>
    <col min="8960" max="8960" width="8.88671875" style="1" customWidth="1"/>
    <col min="8961" max="8961" width="11.44140625" style="1" customWidth="1"/>
    <col min="8962" max="8962" width="7.33203125" style="1" customWidth="1"/>
    <col min="8963" max="8963" width="7.44140625" style="1" bestFit="1" customWidth="1"/>
    <col min="8964" max="8964" width="8" style="1" bestFit="1" customWidth="1"/>
    <col min="8965" max="8965" width="8" style="1" customWidth="1"/>
    <col min="8966" max="8966" width="15.6640625" style="1" bestFit="1" customWidth="1"/>
    <col min="8967" max="8967" width="11.5546875" style="1" customWidth="1"/>
    <col min="8968" max="8968" width="12.88671875" style="1" bestFit="1" customWidth="1"/>
    <col min="8969" max="8969" width="11.33203125" style="1" customWidth="1"/>
    <col min="8970" max="8970" width="5.33203125" style="1" customWidth="1"/>
    <col min="8971" max="8971" width="74.5546875" style="1" customWidth="1"/>
    <col min="8972" max="8972" width="0" style="1" hidden="1" customWidth="1"/>
    <col min="8973" max="8973" width="9.6640625" style="1" bestFit="1" customWidth="1"/>
    <col min="8974" max="8974" width="9.33203125" style="1" bestFit="1" customWidth="1"/>
    <col min="8975" max="8975" width="12" style="1" customWidth="1"/>
    <col min="8976" max="8976" width="12.109375" style="1" customWidth="1"/>
    <col min="8977" max="8977" width="14.44140625" style="1" customWidth="1"/>
    <col min="8978" max="8978" width="11.6640625" style="1" customWidth="1"/>
    <col min="8979" max="8979" width="11.6640625" style="1" bestFit="1" customWidth="1"/>
    <col min="8980" max="8980" width="11.6640625" style="1" customWidth="1"/>
    <col min="8981" max="8982" width="11.6640625" style="1" bestFit="1" customWidth="1"/>
    <col min="8983" max="8986" width="9.33203125" style="1" customWidth="1"/>
    <col min="8987" max="9215" width="9.109375" style="1"/>
    <col min="9216" max="9216" width="8.88671875" style="1" customWidth="1"/>
    <col min="9217" max="9217" width="11.44140625" style="1" customWidth="1"/>
    <col min="9218" max="9218" width="7.33203125" style="1" customWidth="1"/>
    <col min="9219" max="9219" width="7.44140625" style="1" bestFit="1" customWidth="1"/>
    <col min="9220" max="9220" width="8" style="1" bestFit="1" customWidth="1"/>
    <col min="9221" max="9221" width="8" style="1" customWidth="1"/>
    <col min="9222" max="9222" width="15.6640625" style="1" bestFit="1" customWidth="1"/>
    <col min="9223" max="9223" width="11.5546875" style="1" customWidth="1"/>
    <col min="9224" max="9224" width="12.88671875" style="1" bestFit="1" customWidth="1"/>
    <col min="9225" max="9225" width="11.33203125" style="1" customWidth="1"/>
    <col min="9226" max="9226" width="5.33203125" style="1" customWidth="1"/>
    <col min="9227" max="9227" width="74.5546875" style="1" customWidth="1"/>
    <col min="9228" max="9228" width="0" style="1" hidden="1" customWidth="1"/>
    <col min="9229" max="9229" width="9.6640625" style="1" bestFit="1" customWidth="1"/>
    <col min="9230" max="9230" width="9.33203125" style="1" bestFit="1" customWidth="1"/>
    <col min="9231" max="9231" width="12" style="1" customWidth="1"/>
    <col min="9232" max="9232" width="12.109375" style="1" customWidth="1"/>
    <col min="9233" max="9233" width="14.44140625" style="1" customWidth="1"/>
    <col min="9234" max="9234" width="11.6640625" style="1" customWidth="1"/>
    <col min="9235" max="9235" width="11.6640625" style="1" bestFit="1" customWidth="1"/>
    <col min="9236" max="9236" width="11.6640625" style="1" customWidth="1"/>
    <col min="9237" max="9238" width="11.6640625" style="1" bestFit="1" customWidth="1"/>
    <col min="9239" max="9242" width="9.33203125" style="1" customWidth="1"/>
    <col min="9243" max="9471" width="9.109375" style="1"/>
    <col min="9472" max="9472" width="8.88671875" style="1" customWidth="1"/>
    <col min="9473" max="9473" width="11.44140625" style="1" customWidth="1"/>
    <col min="9474" max="9474" width="7.33203125" style="1" customWidth="1"/>
    <col min="9475" max="9475" width="7.44140625" style="1" bestFit="1" customWidth="1"/>
    <col min="9476" max="9476" width="8" style="1" bestFit="1" customWidth="1"/>
    <col min="9477" max="9477" width="8" style="1" customWidth="1"/>
    <col min="9478" max="9478" width="15.6640625" style="1" bestFit="1" customWidth="1"/>
    <col min="9479" max="9479" width="11.5546875" style="1" customWidth="1"/>
    <col min="9480" max="9480" width="12.88671875" style="1" bestFit="1" customWidth="1"/>
    <col min="9481" max="9481" width="11.33203125" style="1" customWidth="1"/>
    <col min="9482" max="9482" width="5.33203125" style="1" customWidth="1"/>
    <col min="9483" max="9483" width="74.5546875" style="1" customWidth="1"/>
    <col min="9484" max="9484" width="0" style="1" hidden="1" customWidth="1"/>
    <col min="9485" max="9485" width="9.6640625" style="1" bestFit="1" customWidth="1"/>
    <col min="9486" max="9486" width="9.33203125" style="1" bestFit="1" customWidth="1"/>
    <col min="9487" max="9487" width="12" style="1" customWidth="1"/>
    <col min="9488" max="9488" width="12.109375" style="1" customWidth="1"/>
    <col min="9489" max="9489" width="14.44140625" style="1" customWidth="1"/>
    <col min="9490" max="9490" width="11.6640625" style="1" customWidth="1"/>
    <col min="9491" max="9491" width="11.6640625" style="1" bestFit="1" customWidth="1"/>
    <col min="9492" max="9492" width="11.6640625" style="1" customWidth="1"/>
    <col min="9493" max="9494" width="11.6640625" style="1" bestFit="1" customWidth="1"/>
    <col min="9495" max="9498" width="9.33203125" style="1" customWidth="1"/>
    <col min="9499" max="9727" width="9.109375" style="1"/>
    <col min="9728" max="9728" width="8.88671875" style="1" customWidth="1"/>
    <col min="9729" max="9729" width="11.44140625" style="1" customWidth="1"/>
    <col min="9730" max="9730" width="7.33203125" style="1" customWidth="1"/>
    <col min="9731" max="9731" width="7.44140625" style="1" bestFit="1" customWidth="1"/>
    <col min="9732" max="9732" width="8" style="1" bestFit="1" customWidth="1"/>
    <col min="9733" max="9733" width="8" style="1" customWidth="1"/>
    <col min="9734" max="9734" width="15.6640625" style="1" bestFit="1" customWidth="1"/>
    <col min="9735" max="9735" width="11.5546875" style="1" customWidth="1"/>
    <col min="9736" max="9736" width="12.88671875" style="1" bestFit="1" customWidth="1"/>
    <col min="9737" max="9737" width="11.33203125" style="1" customWidth="1"/>
    <col min="9738" max="9738" width="5.33203125" style="1" customWidth="1"/>
    <col min="9739" max="9739" width="74.5546875" style="1" customWidth="1"/>
    <col min="9740" max="9740" width="0" style="1" hidden="1" customWidth="1"/>
    <col min="9741" max="9741" width="9.6640625" style="1" bestFit="1" customWidth="1"/>
    <col min="9742" max="9742" width="9.33203125" style="1" bestFit="1" customWidth="1"/>
    <col min="9743" max="9743" width="12" style="1" customWidth="1"/>
    <col min="9744" max="9744" width="12.109375" style="1" customWidth="1"/>
    <col min="9745" max="9745" width="14.44140625" style="1" customWidth="1"/>
    <col min="9746" max="9746" width="11.6640625" style="1" customWidth="1"/>
    <col min="9747" max="9747" width="11.6640625" style="1" bestFit="1" customWidth="1"/>
    <col min="9748" max="9748" width="11.6640625" style="1" customWidth="1"/>
    <col min="9749" max="9750" width="11.6640625" style="1" bestFit="1" customWidth="1"/>
    <col min="9751" max="9754" width="9.33203125" style="1" customWidth="1"/>
    <col min="9755" max="9983" width="9.109375" style="1"/>
    <col min="9984" max="9984" width="8.88671875" style="1" customWidth="1"/>
    <col min="9985" max="9985" width="11.44140625" style="1" customWidth="1"/>
    <col min="9986" max="9986" width="7.33203125" style="1" customWidth="1"/>
    <col min="9987" max="9987" width="7.44140625" style="1" bestFit="1" customWidth="1"/>
    <col min="9988" max="9988" width="8" style="1" bestFit="1" customWidth="1"/>
    <col min="9989" max="9989" width="8" style="1" customWidth="1"/>
    <col min="9990" max="9990" width="15.6640625" style="1" bestFit="1" customWidth="1"/>
    <col min="9991" max="9991" width="11.5546875" style="1" customWidth="1"/>
    <col min="9992" max="9992" width="12.88671875" style="1" bestFit="1" customWidth="1"/>
    <col min="9993" max="9993" width="11.33203125" style="1" customWidth="1"/>
    <col min="9994" max="9994" width="5.33203125" style="1" customWidth="1"/>
    <col min="9995" max="9995" width="74.5546875" style="1" customWidth="1"/>
    <col min="9996" max="9996" width="0" style="1" hidden="1" customWidth="1"/>
    <col min="9997" max="9997" width="9.6640625" style="1" bestFit="1" customWidth="1"/>
    <col min="9998" max="9998" width="9.33203125" style="1" bestFit="1" customWidth="1"/>
    <col min="9999" max="9999" width="12" style="1" customWidth="1"/>
    <col min="10000" max="10000" width="12.109375" style="1" customWidth="1"/>
    <col min="10001" max="10001" width="14.44140625" style="1" customWidth="1"/>
    <col min="10002" max="10002" width="11.6640625" style="1" customWidth="1"/>
    <col min="10003" max="10003" width="11.6640625" style="1" bestFit="1" customWidth="1"/>
    <col min="10004" max="10004" width="11.6640625" style="1" customWidth="1"/>
    <col min="10005" max="10006" width="11.6640625" style="1" bestFit="1" customWidth="1"/>
    <col min="10007" max="10010" width="9.33203125" style="1" customWidth="1"/>
    <col min="10011" max="10239" width="9.109375" style="1"/>
    <col min="10240" max="10240" width="8.88671875" style="1" customWidth="1"/>
    <col min="10241" max="10241" width="11.44140625" style="1" customWidth="1"/>
    <col min="10242" max="10242" width="7.33203125" style="1" customWidth="1"/>
    <col min="10243" max="10243" width="7.44140625" style="1" bestFit="1" customWidth="1"/>
    <col min="10244" max="10244" width="8" style="1" bestFit="1" customWidth="1"/>
    <col min="10245" max="10245" width="8" style="1" customWidth="1"/>
    <col min="10246" max="10246" width="15.6640625" style="1" bestFit="1" customWidth="1"/>
    <col min="10247" max="10247" width="11.5546875" style="1" customWidth="1"/>
    <col min="10248" max="10248" width="12.88671875" style="1" bestFit="1" customWidth="1"/>
    <col min="10249" max="10249" width="11.33203125" style="1" customWidth="1"/>
    <col min="10250" max="10250" width="5.33203125" style="1" customWidth="1"/>
    <col min="10251" max="10251" width="74.5546875" style="1" customWidth="1"/>
    <col min="10252" max="10252" width="0" style="1" hidden="1" customWidth="1"/>
    <col min="10253" max="10253" width="9.6640625" style="1" bestFit="1" customWidth="1"/>
    <col min="10254" max="10254" width="9.33203125" style="1" bestFit="1" customWidth="1"/>
    <col min="10255" max="10255" width="12" style="1" customWidth="1"/>
    <col min="10256" max="10256" width="12.109375" style="1" customWidth="1"/>
    <col min="10257" max="10257" width="14.44140625" style="1" customWidth="1"/>
    <col min="10258" max="10258" width="11.6640625" style="1" customWidth="1"/>
    <col min="10259" max="10259" width="11.6640625" style="1" bestFit="1" customWidth="1"/>
    <col min="10260" max="10260" width="11.6640625" style="1" customWidth="1"/>
    <col min="10261" max="10262" width="11.6640625" style="1" bestFit="1" customWidth="1"/>
    <col min="10263" max="10266" width="9.33203125" style="1" customWidth="1"/>
    <col min="10267" max="10495" width="9.109375" style="1"/>
    <col min="10496" max="10496" width="8.88671875" style="1" customWidth="1"/>
    <col min="10497" max="10497" width="11.44140625" style="1" customWidth="1"/>
    <col min="10498" max="10498" width="7.33203125" style="1" customWidth="1"/>
    <col min="10499" max="10499" width="7.44140625" style="1" bestFit="1" customWidth="1"/>
    <col min="10500" max="10500" width="8" style="1" bestFit="1" customWidth="1"/>
    <col min="10501" max="10501" width="8" style="1" customWidth="1"/>
    <col min="10502" max="10502" width="15.6640625" style="1" bestFit="1" customWidth="1"/>
    <col min="10503" max="10503" width="11.5546875" style="1" customWidth="1"/>
    <col min="10504" max="10504" width="12.88671875" style="1" bestFit="1" customWidth="1"/>
    <col min="10505" max="10505" width="11.33203125" style="1" customWidth="1"/>
    <col min="10506" max="10506" width="5.33203125" style="1" customWidth="1"/>
    <col min="10507" max="10507" width="74.5546875" style="1" customWidth="1"/>
    <col min="10508" max="10508" width="0" style="1" hidden="1" customWidth="1"/>
    <col min="10509" max="10509" width="9.6640625" style="1" bestFit="1" customWidth="1"/>
    <col min="10510" max="10510" width="9.33203125" style="1" bestFit="1" customWidth="1"/>
    <col min="10511" max="10511" width="12" style="1" customWidth="1"/>
    <col min="10512" max="10512" width="12.109375" style="1" customWidth="1"/>
    <col min="10513" max="10513" width="14.44140625" style="1" customWidth="1"/>
    <col min="10514" max="10514" width="11.6640625" style="1" customWidth="1"/>
    <col min="10515" max="10515" width="11.6640625" style="1" bestFit="1" customWidth="1"/>
    <col min="10516" max="10516" width="11.6640625" style="1" customWidth="1"/>
    <col min="10517" max="10518" width="11.6640625" style="1" bestFit="1" customWidth="1"/>
    <col min="10519" max="10522" width="9.33203125" style="1" customWidth="1"/>
    <col min="10523" max="10751" width="9.109375" style="1"/>
    <col min="10752" max="10752" width="8.88671875" style="1" customWidth="1"/>
    <col min="10753" max="10753" width="11.44140625" style="1" customWidth="1"/>
    <col min="10754" max="10754" width="7.33203125" style="1" customWidth="1"/>
    <col min="10755" max="10755" width="7.44140625" style="1" bestFit="1" customWidth="1"/>
    <col min="10756" max="10756" width="8" style="1" bestFit="1" customWidth="1"/>
    <col min="10757" max="10757" width="8" style="1" customWidth="1"/>
    <col min="10758" max="10758" width="15.6640625" style="1" bestFit="1" customWidth="1"/>
    <col min="10759" max="10759" width="11.5546875" style="1" customWidth="1"/>
    <col min="10760" max="10760" width="12.88671875" style="1" bestFit="1" customWidth="1"/>
    <col min="10761" max="10761" width="11.33203125" style="1" customWidth="1"/>
    <col min="10762" max="10762" width="5.33203125" style="1" customWidth="1"/>
    <col min="10763" max="10763" width="74.5546875" style="1" customWidth="1"/>
    <col min="10764" max="10764" width="0" style="1" hidden="1" customWidth="1"/>
    <col min="10765" max="10765" width="9.6640625" style="1" bestFit="1" customWidth="1"/>
    <col min="10766" max="10766" width="9.33203125" style="1" bestFit="1" customWidth="1"/>
    <col min="10767" max="10767" width="12" style="1" customWidth="1"/>
    <col min="10768" max="10768" width="12.109375" style="1" customWidth="1"/>
    <col min="10769" max="10769" width="14.44140625" style="1" customWidth="1"/>
    <col min="10770" max="10770" width="11.6640625" style="1" customWidth="1"/>
    <col min="10771" max="10771" width="11.6640625" style="1" bestFit="1" customWidth="1"/>
    <col min="10772" max="10772" width="11.6640625" style="1" customWidth="1"/>
    <col min="10773" max="10774" width="11.6640625" style="1" bestFit="1" customWidth="1"/>
    <col min="10775" max="10778" width="9.33203125" style="1" customWidth="1"/>
    <col min="10779" max="11007" width="9.109375" style="1"/>
    <col min="11008" max="11008" width="8.88671875" style="1" customWidth="1"/>
    <col min="11009" max="11009" width="11.44140625" style="1" customWidth="1"/>
    <col min="11010" max="11010" width="7.33203125" style="1" customWidth="1"/>
    <col min="11011" max="11011" width="7.44140625" style="1" bestFit="1" customWidth="1"/>
    <col min="11012" max="11012" width="8" style="1" bestFit="1" customWidth="1"/>
    <col min="11013" max="11013" width="8" style="1" customWidth="1"/>
    <col min="11014" max="11014" width="15.6640625" style="1" bestFit="1" customWidth="1"/>
    <col min="11015" max="11015" width="11.5546875" style="1" customWidth="1"/>
    <col min="11016" max="11016" width="12.88671875" style="1" bestFit="1" customWidth="1"/>
    <col min="11017" max="11017" width="11.33203125" style="1" customWidth="1"/>
    <col min="11018" max="11018" width="5.33203125" style="1" customWidth="1"/>
    <col min="11019" max="11019" width="74.5546875" style="1" customWidth="1"/>
    <col min="11020" max="11020" width="0" style="1" hidden="1" customWidth="1"/>
    <col min="11021" max="11021" width="9.6640625" style="1" bestFit="1" customWidth="1"/>
    <col min="11022" max="11022" width="9.33203125" style="1" bestFit="1" customWidth="1"/>
    <col min="11023" max="11023" width="12" style="1" customWidth="1"/>
    <col min="11024" max="11024" width="12.109375" style="1" customWidth="1"/>
    <col min="11025" max="11025" width="14.44140625" style="1" customWidth="1"/>
    <col min="11026" max="11026" width="11.6640625" style="1" customWidth="1"/>
    <col min="11027" max="11027" width="11.6640625" style="1" bestFit="1" customWidth="1"/>
    <col min="11028" max="11028" width="11.6640625" style="1" customWidth="1"/>
    <col min="11029" max="11030" width="11.6640625" style="1" bestFit="1" customWidth="1"/>
    <col min="11031" max="11034" width="9.33203125" style="1" customWidth="1"/>
    <col min="11035" max="11263" width="9.109375" style="1"/>
    <col min="11264" max="11264" width="8.88671875" style="1" customWidth="1"/>
    <col min="11265" max="11265" width="11.44140625" style="1" customWidth="1"/>
    <col min="11266" max="11266" width="7.33203125" style="1" customWidth="1"/>
    <col min="11267" max="11267" width="7.44140625" style="1" bestFit="1" customWidth="1"/>
    <col min="11268" max="11268" width="8" style="1" bestFit="1" customWidth="1"/>
    <col min="11269" max="11269" width="8" style="1" customWidth="1"/>
    <col min="11270" max="11270" width="15.6640625" style="1" bestFit="1" customWidth="1"/>
    <col min="11271" max="11271" width="11.5546875" style="1" customWidth="1"/>
    <col min="11272" max="11272" width="12.88671875" style="1" bestFit="1" customWidth="1"/>
    <col min="11273" max="11273" width="11.33203125" style="1" customWidth="1"/>
    <col min="11274" max="11274" width="5.33203125" style="1" customWidth="1"/>
    <col min="11275" max="11275" width="74.5546875" style="1" customWidth="1"/>
    <col min="11276" max="11276" width="0" style="1" hidden="1" customWidth="1"/>
    <col min="11277" max="11277" width="9.6640625" style="1" bestFit="1" customWidth="1"/>
    <col min="11278" max="11278" width="9.33203125" style="1" bestFit="1" customWidth="1"/>
    <col min="11279" max="11279" width="12" style="1" customWidth="1"/>
    <col min="11280" max="11280" width="12.109375" style="1" customWidth="1"/>
    <col min="11281" max="11281" width="14.44140625" style="1" customWidth="1"/>
    <col min="11282" max="11282" width="11.6640625" style="1" customWidth="1"/>
    <col min="11283" max="11283" width="11.6640625" style="1" bestFit="1" customWidth="1"/>
    <col min="11284" max="11284" width="11.6640625" style="1" customWidth="1"/>
    <col min="11285" max="11286" width="11.6640625" style="1" bestFit="1" customWidth="1"/>
    <col min="11287" max="11290" width="9.33203125" style="1" customWidth="1"/>
    <col min="11291" max="11519" width="9.109375" style="1"/>
    <col min="11520" max="11520" width="8.88671875" style="1" customWidth="1"/>
    <col min="11521" max="11521" width="11.44140625" style="1" customWidth="1"/>
    <col min="11522" max="11522" width="7.33203125" style="1" customWidth="1"/>
    <col min="11523" max="11523" width="7.44140625" style="1" bestFit="1" customWidth="1"/>
    <col min="11524" max="11524" width="8" style="1" bestFit="1" customWidth="1"/>
    <col min="11525" max="11525" width="8" style="1" customWidth="1"/>
    <col min="11526" max="11526" width="15.6640625" style="1" bestFit="1" customWidth="1"/>
    <col min="11527" max="11527" width="11.5546875" style="1" customWidth="1"/>
    <col min="11528" max="11528" width="12.88671875" style="1" bestFit="1" customWidth="1"/>
    <col min="11529" max="11529" width="11.33203125" style="1" customWidth="1"/>
    <col min="11530" max="11530" width="5.33203125" style="1" customWidth="1"/>
    <col min="11531" max="11531" width="74.5546875" style="1" customWidth="1"/>
    <col min="11532" max="11532" width="0" style="1" hidden="1" customWidth="1"/>
    <col min="11533" max="11533" width="9.6640625" style="1" bestFit="1" customWidth="1"/>
    <col min="11534" max="11534" width="9.33203125" style="1" bestFit="1" customWidth="1"/>
    <col min="11535" max="11535" width="12" style="1" customWidth="1"/>
    <col min="11536" max="11536" width="12.109375" style="1" customWidth="1"/>
    <col min="11537" max="11537" width="14.44140625" style="1" customWidth="1"/>
    <col min="11538" max="11538" width="11.6640625" style="1" customWidth="1"/>
    <col min="11539" max="11539" width="11.6640625" style="1" bestFit="1" customWidth="1"/>
    <col min="11540" max="11540" width="11.6640625" style="1" customWidth="1"/>
    <col min="11541" max="11542" width="11.6640625" style="1" bestFit="1" customWidth="1"/>
    <col min="11543" max="11546" width="9.33203125" style="1" customWidth="1"/>
    <col min="11547" max="11775" width="9.109375" style="1"/>
    <col min="11776" max="11776" width="8.88671875" style="1" customWidth="1"/>
    <col min="11777" max="11777" width="11.44140625" style="1" customWidth="1"/>
    <col min="11778" max="11778" width="7.33203125" style="1" customWidth="1"/>
    <col min="11779" max="11779" width="7.44140625" style="1" bestFit="1" customWidth="1"/>
    <col min="11780" max="11780" width="8" style="1" bestFit="1" customWidth="1"/>
    <col min="11781" max="11781" width="8" style="1" customWidth="1"/>
    <col min="11782" max="11782" width="15.6640625" style="1" bestFit="1" customWidth="1"/>
    <col min="11783" max="11783" width="11.5546875" style="1" customWidth="1"/>
    <col min="11784" max="11784" width="12.88671875" style="1" bestFit="1" customWidth="1"/>
    <col min="11785" max="11785" width="11.33203125" style="1" customWidth="1"/>
    <col min="11786" max="11786" width="5.33203125" style="1" customWidth="1"/>
    <col min="11787" max="11787" width="74.5546875" style="1" customWidth="1"/>
    <col min="11788" max="11788" width="0" style="1" hidden="1" customWidth="1"/>
    <col min="11789" max="11789" width="9.6640625" style="1" bestFit="1" customWidth="1"/>
    <col min="11790" max="11790" width="9.33203125" style="1" bestFit="1" customWidth="1"/>
    <col min="11791" max="11791" width="12" style="1" customWidth="1"/>
    <col min="11792" max="11792" width="12.109375" style="1" customWidth="1"/>
    <col min="11793" max="11793" width="14.44140625" style="1" customWidth="1"/>
    <col min="11794" max="11794" width="11.6640625" style="1" customWidth="1"/>
    <col min="11795" max="11795" width="11.6640625" style="1" bestFit="1" customWidth="1"/>
    <col min="11796" max="11796" width="11.6640625" style="1" customWidth="1"/>
    <col min="11797" max="11798" width="11.6640625" style="1" bestFit="1" customWidth="1"/>
    <col min="11799" max="11802" width="9.33203125" style="1" customWidth="1"/>
    <col min="11803" max="12031" width="9.109375" style="1"/>
    <col min="12032" max="12032" width="8.88671875" style="1" customWidth="1"/>
    <col min="12033" max="12033" width="11.44140625" style="1" customWidth="1"/>
    <col min="12034" max="12034" width="7.33203125" style="1" customWidth="1"/>
    <col min="12035" max="12035" width="7.44140625" style="1" bestFit="1" customWidth="1"/>
    <col min="12036" max="12036" width="8" style="1" bestFit="1" customWidth="1"/>
    <col min="12037" max="12037" width="8" style="1" customWidth="1"/>
    <col min="12038" max="12038" width="15.6640625" style="1" bestFit="1" customWidth="1"/>
    <col min="12039" max="12039" width="11.5546875" style="1" customWidth="1"/>
    <col min="12040" max="12040" width="12.88671875" style="1" bestFit="1" customWidth="1"/>
    <col min="12041" max="12041" width="11.33203125" style="1" customWidth="1"/>
    <col min="12042" max="12042" width="5.33203125" style="1" customWidth="1"/>
    <col min="12043" max="12043" width="74.5546875" style="1" customWidth="1"/>
    <col min="12044" max="12044" width="0" style="1" hidden="1" customWidth="1"/>
    <col min="12045" max="12045" width="9.6640625" style="1" bestFit="1" customWidth="1"/>
    <col min="12046" max="12046" width="9.33203125" style="1" bestFit="1" customWidth="1"/>
    <col min="12047" max="12047" width="12" style="1" customWidth="1"/>
    <col min="12048" max="12048" width="12.109375" style="1" customWidth="1"/>
    <col min="12049" max="12049" width="14.44140625" style="1" customWidth="1"/>
    <col min="12050" max="12050" width="11.6640625" style="1" customWidth="1"/>
    <col min="12051" max="12051" width="11.6640625" style="1" bestFit="1" customWidth="1"/>
    <col min="12052" max="12052" width="11.6640625" style="1" customWidth="1"/>
    <col min="12053" max="12054" width="11.6640625" style="1" bestFit="1" customWidth="1"/>
    <col min="12055" max="12058" width="9.33203125" style="1" customWidth="1"/>
    <col min="12059" max="12287" width="9.109375" style="1"/>
    <col min="12288" max="12288" width="8.88671875" style="1" customWidth="1"/>
    <col min="12289" max="12289" width="11.44140625" style="1" customWidth="1"/>
    <col min="12290" max="12290" width="7.33203125" style="1" customWidth="1"/>
    <col min="12291" max="12291" width="7.44140625" style="1" bestFit="1" customWidth="1"/>
    <col min="12292" max="12292" width="8" style="1" bestFit="1" customWidth="1"/>
    <col min="12293" max="12293" width="8" style="1" customWidth="1"/>
    <col min="12294" max="12294" width="15.6640625" style="1" bestFit="1" customWidth="1"/>
    <col min="12295" max="12295" width="11.5546875" style="1" customWidth="1"/>
    <col min="12296" max="12296" width="12.88671875" style="1" bestFit="1" customWidth="1"/>
    <col min="12297" max="12297" width="11.33203125" style="1" customWidth="1"/>
    <col min="12298" max="12298" width="5.33203125" style="1" customWidth="1"/>
    <col min="12299" max="12299" width="74.5546875" style="1" customWidth="1"/>
    <col min="12300" max="12300" width="0" style="1" hidden="1" customWidth="1"/>
    <col min="12301" max="12301" width="9.6640625" style="1" bestFit="1" customWidth="1"/>
    <col min="12302" max="12302" width="9.33203125" style="1" bestFit="1" customWidth="1"/>
    <col min="12303" max="12303" width="12" style="1" customWidth="1"/>
    <col min="12304" max="12304" width="12.109375" style="1" customWidth="1"/>
    <col min="12305" max="12305" width="14.44140625" style="1" customWidth="1"/>
    <col min="12306" max="12306" width="11.6640625" style="1" customWidth="1"/>
    <col min="12307" max="12307" width="11.6640625" style="1" bestFit="1" customWidth="1"/>
    <col min="12308" max="12308" width="11.6640625" style="1" customWidth="1"/>
    <col min="12309" max="12310" width="11.6640625" style="1" bestFit="1" customWidth="1"/>
    <col min="12311" max="12314" width="9.33203125" style="1" customWidth="1"/>
    <col min="12315" max="12543" width="9.109375" style="1"/>
    <col min="12544" max="12544" width="8.88671875" style="1" customWidth="1"/>
    <col min="12545" max="12545" width="11.44140625" style="1" customWidth="1"/>
    <col min="12546" max="12546" width="7.33203125" style="1" customWidth="1"/>
    <col min="12547" max="12547" width="7.44140625" style="1" bestFit="1" customWidth="1"/>
    <col min="12548" max="12548" width="8" style="1" bestFit="1" customWidth="1"/>
    <col min="12549" max="12549" width="8" style="1" customWidth="1"/>
    <col min="12550" max="12550" width="15.6640625" style="1" bestFit="1" customWidth="1"/>
    <col min="12551" max="12551" width="11.5546875" style="1" customWidth="1"/>
    <col min="12552" max="12552" width="12.88671875" style="1" bestFit="1" customWidth="1"/>
    <col min="12553" max="12553" width="11.33203125" style="1" customWidth="1"/>
    <col min="12554" max="12554" width="5.33203125" style="1" customWidth="1"/>
    <col min="12555" max="12555" width="74.5546875" style="1" customWidth="1"/>
    <col min="12556" max="12556" width="0" style="1" hidden="1" customWidth="1"/>
    <col min="12557" max="12557" width="9.6640625" style="1" bestFit="1" customWidth="1"/>
    <col min="12558" max="12558" width="9.33203125" style="1" bestFit="1" customWidth="1"/>
    <col min="12559" max="12559" width="12" style="1" customWidth="1"/>
    <col min="12560" max="12560" width="12.109375" style="1" customWidth="1"/>
    <col min="12561" max="12561" width="14.44140625" style="1" customWidth="1"/>
    <col min="12562" max="12562" width="11.6640625" style="1" customWidth="1"/>
    <col min="12563" max="12563" width="11.6640625" style="1" bestFit="1" customWidth="1"/>
    <col min="12564" max="12564" width="11.6640625" style="1" customWidth="1"/>
    <col min="12565" max="12566" width="11.6640625" style="1" bestFit="1" customWidth="1"/>
    <col min="12567" max="12570" width="9.33203125" style="1" customWidth="1"/>
    <col min="12571" max="12799" width="9.109375" style="1"/>
    <col min="12800" max="12800" width="8.88671875" style="1" customWidth="1"/>
    <col min="12801" max="12801" width="11.44140625" style="1" customWidth="1"/>
    <col min="12802" max="12802" width="7.33203125" style="1" customWidth="1"/>
    <col min="12803" max="12803" width="7.44140625" style="1" bestFit="1" customWidth="1"/>
    <col min="12804" max="12804" width="8" style="1" bestFit="1" customWidth="1"/>
    <col min="12805" max="12805" width="8" style="1" customWidth="1"/>
    <col min="12806" max="12806" width="15.6640625" style="1" bestFit="1" customWidth="1"/>
    <col min="12807" max="12807" width="11.5546875" style="1" customWidth="1"/>
    <col min="12808" max="12808" width="12.88671875" style="1" bestFit="1" customWidth="1"/>
    <col min="12809" max="12809" width="11.33203125" style="1" customWidth="1"/>
    <col min="12810" max="12810" width="5.33203125" style="1" customWidth="1"/>
    <col min="12811" max="12811" width="74.5546875" style="1" customWidth="1"/>
    <col min="12812" max="12812" width="0" style="1" hidden="1" customWidth="1"/>
    <col min="12813" max="12813" width="9.6640625" style="1" bestFit="1" customWidth="1"/>
    <col min="12814" max="12814" width="9.33203125" style="1" bestFit="1" customWidth="1"/>
    <col min="12815" max="12815" width="12" style="1" customWidth="1"/>
    <col min="12816" max="12816" width="12.109375" style="1" customWidth="1"/>
    <col min="12817" max="12817" width="14.44140625" style="1" customWidth="1"/>
    <col min="12818" max="12818" width="11.6640625" style="1" customWidth="1"/>
    <col min="12819" max="12819" width="11.6640625" style="1" bestFit="1" customWidth="1"/>
    <col min="12820" max="12820" width="11.6640625" style="1" customWidth="1"/>
    <col min="12821" max="12822" width="11.6640625" style="1" bestFit="1" customWidth="1"/>
    <col min="12823" max="12826" width="9.33203125" style="1" customWidth="1"/>
    <col min="12827" max="13055" width="9.109375" style="1"/>
    <col min="13056" max="13056" width="8.88671875" style="1" customWidth="1"/>
    <col min="13057" max="13057" width="11.44140625" style="1" customWidth="1"/>
    <col min="13058" max="13058" width="7.33203125" style="1" customWidth="1"/>
    <col min="13059" max="13059" width="7.44140625" style="1" bestFit="1" customWidth="1"/>
    <col min="13060" max="13060" width="8" style="1" bestFit="1" customWidth="1"/>
    <col min="13061" max="13061" width="8" style="1" customWidth="1"/>
    <col min="13062" max="13062" width="15.6640625" style="1" bestFit="1" customWidth="1"/>
    <col min="13063" max="13063" width="11.5546875" style="1" customWidth="1"/>
    <col min="13064" max="13064" width="12.88671875" style="1" bestFit="1" customWidth="1"/>
    <col min="13065" max="13065" width="11.33203125" style="1" customWidth="1"/>
    <col min="13066" max="13066" width="5.33203125" style="1" customWidth="1"/>
    <col min="13067" max="13067" width="74.5546875" style="1" customWidth="1"/>
    <col min="13068" max="13068" width="0" style="1" hidden="1" customWidth="1"/>
    <col min="13069" max="13069" width="9.6640625" style="1" bestFit="1" customWidth="1"/>
    <col min="13070" max="13070" width="9.33203125" style="1" bestFit="1" customWidth="1"/>
    <col min="13071" max="13071" width="12" style="1" customWidth="1"/>
    <col min="13072" max="13072" width="12.109375" style="1" customWidth="1"/>
    <col min="13073" max="13073" width="14.44140625" style="1" customWidth="1"/>
    <col min="13074" max="13074" width="11.6640625" style="1" customWidth="1"/>
    <col min="13075" max="13075" width="11.6640625" style="1" bestFit="1" customWidth="1"/>
    <col min="13076" max="13076" width="11.6640625" style="1" customWidth="1"/>
    <col min="13077" max="13078" width="11.6640625" style="1" bestFit="1" customWidth="1"/>
    <col min="13079" max="13082" width="9.33203125" style="1" customWidth="1"/>
    <col min="13083" max="13311" width="9.109375" style="1"/>
    <col min="13312" max="13312" width="8.88671875" style="1" customWidth="1"/>
    <col min="13313" max="13313" width="11.44140625" style="1" customWidth="1"/>
    <col min="13314" max="13314" width="7.33203125" style="1" customWidth="1"/>
    <col min="13315" max="13315" width="7.44140625" style="1" bestFit="1" customWidth="1"/>
    <col min="13316" max="13316" width="8" style="1" bestFit="1" customWidth="1"/>
    <col min="13317" max="13317" width="8" style="1" customWidth="1"/>
    <col min="13318" max="13318" width="15.6640625" style="1" bestFit="1" customWidth="1"/>
    <col min="13319" max="13319" width="11.5546875" style="1" customWidth="1"/>
    <col min="13320" max="13320" width="12.88671875" style="1" bestFit="1" customWidth="1"/>
    <col min="13321" max="13321" width="11.33203125" style="1" customWidth="1"/>
    <col min="13322" max="13322" width="5.33203125" style="1" customWidth="1"/>
    <col min="13323" max="13323" width="74.5546875" style="1" customWidth="1"/>
    <col min="13324" max="13324" width="0" style="1" hidden="1" customWidth="1"/>
    <col min="13325" max="13325" width="9.6640625" style="1" bestFit="1" customWidth="1"/>
    <col min="13326" max="13326" width="9.33203125" style="1" bestFit="1" customWidth="1"/>
    <col min="13327" max="13327" width="12" style="1" customWidth="1"/>
    <col min="13328" max="13328" width="12.109375" style="1" customWidth="1"/>
    <col min="13329" max="13329" width="14.44140625" style="1" customWidth="1"/>
    <col min="13330" max="13330" width="11.6640625" style="1" customWidth="1"/>
    <col min="13331" max="13331" width="11.6640625" style="1" bestFit="1" customWidth="1"/>
    <col min="13332" max="13332" width="11.6640625" style="1" customWidth="1"/>
    <col min="13333" max="13334" width="11.6640625" style="1" bestFit="1" customWidth="1"/>
    <col min="13335" max="13338" width="9.33203125" style="1" customWidth="1"/>
    <col min="13339" max="13567" width="9.109375" style="1"/>
    <col min="13568" max="13568" width="8.88671875" style="1" customWidth="1"/>
    <col min="13569" max="13569" width="11.44140625" style="1" customWidth="1"/>
    <col min="13570" max="13570" width="7.33203125" style="1" customWidth="1"/>
    <col min="13571" max="13571" width="7.44140625" style="1" bestFit="1" customWidth="1"/>
    <col min="13572" max="13572" width="8" style="1" bestFit="1" customWidth="1"/>
    <col min="13573" max="13573" width="8" style="1" customWidth="1"/>
    <col min="13574" max="13574" width="15.6640625" style="1" bestFit="1" customWidth="1"/>
    <col min="13575" max="13575" width="11.5546875" style="1" customWidth="1"/>
    <col min="13576" max="13576" width="12.88671875" style="1" bestFit="1" customWidth="1"/>
    <col min="13577" max="13577" width="11.33203125" style="1" customWidth="1"/>
    <col min="13578" max="13578" width="5.33203125" style="1" customWidth="1"/>
    <col min="13579" max="13579" width="74.5546875" style="1" customWidth="1"/>
    <col min="13580" max="13580" width="0" style="1" hidden="1" customWidth="1"/>
    <col min="13581" max="13581" width="9.6640625" style="1" bestFit="1" customWidth="1"/>
    <col min="13582" max="13582" width="9.33203125" style="1" bestFit="1" customWidth="1"/>
    <col min="13583" max="13583" width="12" style="1" customWidth="1"/>
    <col min="13584" max="13584" width="12.109375" style="1" customWidth="1"/>
    <col min="13585" max="13585" width="14.44140625" style="1" customWidth="1"/>
    <col min="13586" max="13586" width="11.6640625" style="1" customWidth="1"/>
    <col min="13587" max="13587" width="11.6640625" style="1" bestFit="1" customWidth="1"/>
    <col min="13588" max="13588" width="11.6640625" style="1" customWidth="1"/>
    <col min="13589" max="13590" width="11.6640625" style="1" bestFit="1" customWidth="1"/>
    <col min="13591" max="13594" width="9.33203125" style="1" customWidth="1"/>
    <col min="13595" max="13823" width="9.109375" style="1"/>
    <col min="13824" max="13824" width="8.88671875" style="1" customWidth="1"/>
    <col min="13825" max="13825" width="11.44140625" style="1" customWidth="1"/>
    <col min="13826" max="13826" width="7.33203125" style="1" customWidth="1"/>
    <col min="13827" max="13827" width="7.44140625" style="1" bestFit="1" customWidth="1"/>
    <col min="13828" max="13828" width="8" style="1" bestFit="1" customWidth="1"/>
    <col min="13829" max="13829" width="8" style="1" customWidth="1"/>
    <col min="13830" max="13830" width="15.6640625" style="1" bestFit="1" customWidth="1"/>
    <col min="13831" max="13831" width="11.5546875" style="1" customWidth="1"/>
    <col min="13832" max="13832" width="12.88671875" style="1" bestFit="1" customWidth="1"/>
    <col min="13833" max="13833" width="11.33203125" style="1" customWidth="1"/>
    <col min="13834" max="13834" width="5.33203125" style="1" customWidth="1"/>
    <col min="13835" max="13835" width="74.5546875" style="1" customWidth="1"/>
    <col min="13836" max="13836" width="0" style="1" hidden="1" customWidth="1"/>
    <col min="13837" max="13837" width="9.6640625" style="1" bestFit="1" customWidth="1"/>
    <col min="13838" max="13838" width="9.33203125" style="1" bestFit="1" customWidth="1"/>
    <col min="13839" max="13839" width="12" style="1" customWidth="1"/>
    <col min="13840" max="13840" width="12.109375" style="1" customWidth="1"/>
    <col min="13841" max="13841" width="14.44140625" style="1" customWidth="1"/>
    <col min="13842" max="13842" width="11.6640625" style="1" customWidth="1"/>
    <col min="13843" max="13843" width="11.6640625" style="1" bestFit="1" customWidth="1"/>
    <col min="13844" max="13844" width="11.6640625" style="1" customWidth="1"/>
    <col min="13845" max="13846" width="11.6640625" style="1" bestFit="1" customWidth="1"/>
    <col min="13847" max="13850" width="9.33203125" style="1" customWidth="1"/>
    <col min="13851" max="14079" width="9.109375" style="1"/>
    <col min="14080" max="14080" width="8.88671875" style="1" customWidth="1"/>
    <col min="14081" max="14081" width="11.44140625" style="1" customWidth="1"/>
    <col min="14082" max="14082" width="7.33203125" style="1" customWidth="1"/>
    <col min="14083" max="14083" width="7.44140625" style="1" bestFit="1" customWidth="1"/>
    <col min="14084" max="14084" width="8" style="1" bestFit="1" customWidth="1"/>
    <col min="14085" max="14085" width="8" style="1" customWidth="1"/>
    <col min="14086" max="14086" width="15.6640625" style="1" bestFit="1" customWidth="1"/>
    <col min="14087" max="14087" width="11.5546875" style="1" customWidth="1"/>
    <col min="14088" max="14088" width="12.88671875" style="1" bestFit="1" customWidth="1"/>
    <col min="14089" max="14089" width="11.33203125" style="1" customWidth="1"/>
    <col min="14090" max="14090" width="5.33203125" style="1" customWidth="1"/>
    <col min="14091" max="14091" width="74.5546875" style="1" customWidth="1"/>
    <col min="14092" max="14092" width="0" style="1" hidden="1" customWidth="1"/>
    <col min="14093" max="14093" width="9.6640625" style="1" bestFit="1" customWidth="1"/>
    <col min="14094" max="14094" width="9.33203125" style="1" bestFit="1" customWidth="1"/>
    <col min="14095" max="14095" width="12" style="1" customWidth="1"/>
    <col min="14096" max="14096" width="12.109375" style="1" customWidth="1"/>
    <col min="14097" max="14097" width="14.44140625" style="1" customWidth="1"/>
    <col min="14098" max="14098" width="11.6640625" style="1" customWidth="1"/>
    <col min="14099" max="14099" width="11.6640625" style="1" bestFit="1" customWidth="1"/>
    <col min="14100" max="14100" width="11.6640625" style="1" customWidth="1"/>
    <col min="14101" max="14102" width="11.6640625" style="1" bestFit="1" customWidth="1"/>
    <col min="14103" max="14106" width="9.33203125" style="1" customWidth="1"/>
    <col min="14107" max="14335" width="9.109375" style="1"/>
    <col min="14336" max="14336" width="8.88671875" style="1" customWidth="1"/>
    <col min="14337" max="14337" width="11.44140625" style="1" customWidth="1"/>
    <col min="14338" max="14338" width="7.33203125" style="1" customWidth="1"/>
    <col min="14339" max="14339" width="7.44140625" style="1" bestFit="1" customWidth="1"/>
    <col min="14340" max="14340" width="8" style="1" bestFit="1" customWidth="1"/>
    <col min="14341" max="14341" width="8" style="1" customWidth="1"/>
    <col min="14342" max="14342" width="15.6640625" style="1" bestFit="1" customWidth="1"/>
    <col min="14343" max="14343" width="11.5546875" style="1" customWidth="1"/>
    <col min="14344" max="14344" width="12.88671875" style="1" bestFit="1" customWidth="1"/>
    <col min="14345" max="14345" width="11.33203125" style="1" customWidth="1"/>
    <col min="14346" max="14346" width="5.33203125" style="1" customWidth="1"/>
    <col min="14347" max="14347" width="74.5546875" style="1" customWidth="1"/>
    <col min="14348" max="14348" width="0" style="1" hidden="1" customWidth="1"/>
    <col min="14349" max="14349" width="9.6640625" style="1" bestFit="1" customWidth="1"/>
    <col min="14350" max="14350" width="9.33203125" style="1" bestFit="1" customWidth="1"/>
    <col min="14351" max="14351" width="12" style="1" customWidth="1"/>
    <col min="14352" max="14352" width="12.109375" style="1" customWidth="1"/>
    <col min="14353" max="14353" width="14.44140625" style="1" customWidth="1"/>
    <col min="14354" max="14354" width="11.6640625" style="1" customWidth="1"/>
    <col min="14355" max="14355" width="11.6640625" style="1" bestFit="1" customWidth="1"/>
    <col min="14356" max="14356" width="11.6640625" style="1" customWidth="1"/>
    <col min="14357" max="14358" width="11.6640625" style="1" bestFit="1" customWidth="1"/>
    <col min="14359" max="14362" width="9.33203125" style="1" customWidth="1"/>
    <col min="14363" max="14591" width="9.109375" style="1"/>
    <col min="14592" max="14592" width="8.88671875" style="1" customWidth="1"/>
    <col min="14593" max="14593" width="11.44140625" style="1" customWidth="1"/>
    <col min="14594" max="14594" width="7.33203125" style="1" customWidth="1"/>
    <col min="14595" max="14595" width="7.44140625" style="1" bestFit="1" customWidth="1"/>
    <col min="14596" max="14596" width="8" style="1" bestFit="1" customWidth="1"/>
    <col min="14597" max="14597" width="8" style="1" customWidth="1"/>
    <col min="14598" max="14598" width="15.6640625" style="1" bestFit="1" customWidth="1"/>
    <col min="14599" max="14599" width="11.5546875" style="1" customWidth="1"/>
    <col min="14600" max="14600" width="12.88671875" style="1" bestFit="1" customWidth="1"/>
    <col min="14601" max="14601" width="11.33203125" style="1" customWidth="1"/>
    <col min="14602" max="14602" width="5.33203125" style="1" customWidth="1"/>
    <col min="14603" max="14603" width="74.5546875" style="1" customWidth="1"/>
    <col min="14604" max="14604" width="0" style="1" hidden="1" customWidth="1"/>
    <col min="14605" max="14605" width="9.6640625" style="1" bestFit="1" customWidth="1"/>
    <col min="14606" max="14606" width="9.33203125" style="1" bestFit="1" customWidth="1"/>
    <col min="14607" max="14607" width="12" style="1" customWidth="1"/>
    <col min="14608" max="14608" width="12.109375" style="1" customWidth="1"/>
    <col min="14609" max="14609" width="14.44140625" style="1" customWidth="1"/>
    <col min="14610" max="14610" width="11.6640625" style="1" customWidth="1"/>
    <col min="14611" max="14611" width="11.6640625" style="1" bestFit="1" customWidth="1"/>
    <col min="14612" max="14612" width="11.6640625" style="1" customWidth="1"/>
    <col min="14613" max="14614" width="11.6640625" style="1" bestFit="1" customWidth="1"/>
    <col min="14615" max="14618" width="9.33203125" style="1" customWidth="1"/>
    <col min="14619" max="14847" width="9.109375" style="1"/>
    <col min="14848" max="14848" width="8.88671875" style="1" customWidth="1"/>
    <col min="14849" max="14849" width="11.44140625" style="1" customWidth="1"/>
    <col min="14850" max="14850" width="7.33203125" style="1" customWidth="1"/>
    <col min="14851" max="14851" width="7.44140625" style="1" bestFit="1" customWidth="1"/>
    <col min="14852" max="14852" width="8" style="1" bestFit="1" customWidth="1"/>
    <col min="14853" max="14853" width="8" style="1" customWidth="1"/>
    <col min="14854" max="14854" width="15.6640625" style="1" bestFit="1" customWidth="1"/>
    <col min="14855" max="14855" width="11.5546875" style="1" customWidth="1"/>
    <col min="14856" max="14856" width="12.88671875" style="1" bestFit="1" customWidth="1"/>
    <col min="14857" max="14857" width="11.33203125" style="1" customWidth="1"/>
    <col min="14858" max="14858" width="5.33203125" style="1" customWidth="1"/>
    <col min="14859" max="14859" width="74.5546875" style="1" customWidth="1"/>
    <col min="14860" max="14860" width="0" style="1" hidden="1" customWidth="1"/>
    <col min="14861" max="14861" width="9.6640625" style="1" bestFit="1" customWidth="1"/>
    <col min="14862" max="14862" width="9.33203125" style="1" bestFit="1" customWidth="1"/>
    <col min="14863" max="14863" width="12" style="1" customWidth="1"/>
    <col min="14864" max="14864" width="12.109375" style="1" customWidth="1"/>
    <col min="14865" max="14865" width="14.44140625" style="1" customWidth="1"/>
    <col min="14866" max="14866" width="11.6640625" style="1" customWidth="1"/>
    <col min="14867" max="14867" width="11.6640625" style="1" bestFit="1" customWidth="1"/>
    <col min="14868" max="14868" width="11.6640625" style="1" customWidth="1"/>
    <col min="14869" max="14870" width="11.6640625" style="1" bestFit="1" customWidth="1"/>
    <col min="14871" max="14874" width="9.33203125" style="1" customWidth="1"/>
    <col min="14875" max="15103" width="9.109375" style="1"/>
    <col min="15104" max="15104" width="8.88671875" style="1" customWidth="1"/>
    <col min="15105" max="15105" width="11.44140625" style="1" customWidth="1"/>
    <col min="15106" max="15106" width="7.33203125" style="1" customWidth="1"/>
    <col min="15107" max="15107" width="7.44140625" style="1" bestFit="1" customWidth="1"/>
    <col min="15108" max="15108" width="8" style="1" bestFit="1" customWidth="1"/>
    <col min="15109" max="15109" width="8" style="1" customWidth="1"/>
    <col min="15110" max="15110" width="15.6640625" style="1" bestFit="1" customWidth="1"/>
    <col min="15111" max="15111" width="11.5546875" style="1" customWidth="1"/>
    <col min="15112" max="15112" width="12.88671875" style="1" bestFit="1" customWidth="1"/>
    <col min="15113" max="15113" width="11.33203125" style="1" customWidth="1"/>
    <col min="15114" max="15114" width="5.33203125" style="1" customWidth="1"/>
    <col min="15115" max="15115" width="74.5546875" style="1" customWidth="1"/>
    <col min="15116" max="15116" width="0" style="1" hidden="1" customWidth="1"/>
    <col min="15117" max="15117" width="9.6640625" style="1" bestFit="1" customWidth="1"/>
    <col min="15118" max="15118" width="9.33203125" style="1" bestFit="1" customWidth="1"/>
    <col min="15119" max="15119" width="12" style="1" customWidth="1"/>
    <col min="15120" max="15120" width="12.109375" style="1" customWidth="1"/>
    <col min="15121" max="15121" width="14.44140625" style="1" customWidth="1"/>
    <col min="15122" max="15122" width="11.6640625" style="1" customWidth="1"/>
    <col min="15123" max="15123" width="11.6640625" style="1" bestFit="1" customWidth="1"/>
    <col min="15124" max="15124" width="11.6640625" style="1" customWidth="1"/>
    <col min="15125" max="15126" width="11.6640625" style="1" bestFit="1" customWidth="1"/>
    <col min="15127" max="15130" width="9.33203125" style="1" customWidth="1"/>
    <col min="15131" max="15359" width="9.109375" style="1"/>
    <col min="15360" max="15360" width="8.88671875" style="1" customWidth="1"/>
    <col min="15361" max="15361" width="11.44140625" style="1" customWidth="1"/>
    <col min="15362" max="15362" width="7.33203125" style="1" customWidth="1"/>
    <col min="15363" max="15363" width="7.44140625" style="1" bestFit="1" customWidth="1"/>
    <col min="15364" max="15364" width="8" style="1" bestFit="1" customWidth="1"/>
    <col min="15365" max="15365" width="8" style="1" customWidth="1"/>
    <col min="15366" max="15366" width="15.6640625" style="1" bestFit="1" customWidth="1"/>
    <col min="15367" max="15367" width="11.5546875" style="1" customWidth="1"/>
    <col min="15368" max="15368" width="12.88671875" style="1" bestFit="1" customWidth="1"/>
    <col min="15369" max="15369" width="11.33203125" style="1" customWidth="1"/>
    <col min="15370" max="15370" width="5.33203125" style="1" customWidth="1"/>
    <col min="15371" max="15371" width="74.5546875" style="1" customWidth="1"/>
    <col min="15372" max="15372" width="0" style="1" hidden="1" customWidth="1"/>
    <col min="15373" max="15373" width="9.6640625" style="1" bestFit="1" customWidth="1"/>
    <col min="15374" max="15374" width="9.33203125" style="1" bestFit="1" customWidth="1"/>
    <col min="15375" max="15375" width="12" style="1" customWidth="1"/>
    <col min="15376" max="15376" width="12.109375" style="1" customWidth="1"/>
    <col min="15377" max="15377" width="14.44140625" style="1" customWidth="1"/>
    <col min="15378" max="15378" width="11.6640625" style="1" customWidth="1"/>
    <col min="15379" max="15379" width="11.6640625" style="1" bestFit="1" customWidth="1"/>
    <col min="15380" max="15380" width="11.6640625" style="1" customWidth="1"/>
    <col min="15381" max="15382" width="11.6640625" style="1" bestFit="1" customWidth="1"/>
    <col min="15383" max="15386" width="9.33203125" style="1" customWidth="1"/>
    <col min="15387" max="15615" width="9.109375" style="1"/>
    <col min="15616" max="15616" width="8.88671875" style="1" customWidth="1"/>
    <col min="15617" max="15617" width="11.44140625" style="1" customWidth="1"/>
    <col min="15618" max="15618" width="7.33203125" style="1" customWidth="1"/>
    <col min="15619" max="15619" width="7.44140625" style="1" bestFit="1" customWidth="1"/>
    <col min="15620" max="15620" width="8" style="1" bestFit="1" customWidth="1"/>
    <col min="15621" max="15621" width="8" style="1" customWidth="1"/>
    <col min="15622" max="15622" width="15.6640625" style="1" bestFit="1" customWidth="1"/>
    <col min="15623" max="15623" width="11.5546875" style="1" customWidth="1"/>
    <col min="15624" max="15624" width="12.88671875" style="1" bestFit="1" customWidth="1"/>
    <col min="15625" max="15625" width="11.33203125" style="1" customWidth="1"/>
    <col min="15626" max="15626" width="5.33203125" style="1" customWidth="1"/>
    <col min="15627" max="15627" width="74.5546875" style="1" customWidth="1"/>
    <col min="15628" max="15628" width="0" style="1" hidden="1" customWidth="1"/>
    <col min="15629" max="15629" width="9.6640625" style="1" bestFit="1" customWidth="1"/>
    <col min="15630" max="15630" width="9.33203125" style="1" bestFit="1" customWidth="1"/>
    <col min="15631" max="15631" width="12" style="1" customWidth="1"/>
    <col min="15632" max="15632" width="12.109375" style="1" customWidth="1"/>
    <col min="15633" max="15633" width="14.44140625" style="1" customWidth="1"/>
    <col min="15634" max="15634" width="11.6640625" style="1" customWidth="1"/>
    <col min="15635" max="15635" width="11.6640625" style="1" bestFit="1" customWidth="1"/>
    <col min="15636" max="15636" width="11.6640625" style="1" customWidth="1"/>
    <col min="15637" max="15638" width="11.6640625" style="1" bestFit="1" customWidth="1"/>
    <col min="15639" max="15642" width="9.33203125" style="1" customWidth="1"/>
    <col min="15643" max="15871" width="9.109375" style="1"/>
    <col min="15872" max="15872" width="8.88671875" style="1" customWidth="1"/>
    <col min="15873" max="15873" width="11.44140625" style="1" customWidth="1"/>
    <col min="15874" max="15874" width="7.33203125" style="1" customWidth="1"/>
    <col min="15875" max="15875" width="7.44140625" style="1" bestFit="1" customWidth="1"/>
    <col min="15876" max="15876" width="8" style="1" bestFit="1" customWidth="1"/>
    <col min="15877" max="15877" width="8" style="1" customWidth="1"/>
    <col min="15878" max="15878" width="15.6640625" style="1" bestFit="1" customWidth="1"/>
    <col min="15879" max="15879" width="11.5546875" style="1" customWidth="1"/>
    <col min="15880" max="15880" width="12.88671875" style="1" bestFit="1" customWidth="1"/>
    <col min="15881" max="15881" width="11.33203125" style="1" customWidth="1"/>
    <col min="15882" max="15882" width="5.33203125" style="1" customWidth="1"/>
    <col min="15883" max="15883" width="74.5546875" style="1" customWidth="1"/>
    <col min="15884" max="15884" width="0" style="1" hidden="1" customWidth="1"/>
    <col min="15885" max="15885" width="9.6640625" style="1" bestFit="1" customWidth="1"/>
    <col min="15886" max="15886" width="9.33203125" style="1" bestFit="1" customWidth="1"/>
    <col min="15887" max="15887" width="12" style="1" customWidth="1"/>
    <col min="15888" max="15888" width="12.109375" style="1" customWidth="1"/>
    <col min="15889" max="15889" width="14.44140625" style="1" customWidth="1"/>
    <col min="15890" max="15890" width="11.6640625" style="1" customWidth="1"/>
    <col min="15891" max="15891" width="11.6640625" style="1" bestFit="1" customWidth="1"/>
    <col min="15892" max="15892" width="11.6640625" style="1" customWidth="1"/>
    <col min="15893" max="15894" width="11.6640625" style="1" bestFit="1" customWidth="1"/>
    <col min="15895" max="15898" width="9.33203125" style="1" customWidth="1"/>
    <col min="15899" max="16127" width="9.109375" style="1"/>
    <col min="16128" max="16128" width="8.88671875" style="1" customWidth="1"/>
    <col min="16129" max="16129" width="11.44140625" style="1" customWidth="1"/>
    <col min="16130" max="16130" width="7.33203125" style="1" customWidth="1"/>
    <col min="16131" max="16131" width="7.44140625" style="1" bestFit="1" customWidth="1"/>
    <col min="16132" max="16132" width="8" style="1" bestFit="1" customWidth="1"/>
    <col min="16133" max="16133" width="8" style="1" customWidth="1"/>
    <col min="16134" max="16134" width="15.6640625" style="1" bestFit="1" customWidth="1"/>
    <col min="16135" max="16135" width="11.5546875" style="1" customWidth="1"/>
    <col min="16136" max="16136" width="12.88671875" style="1" bestFit="1" customWidth="1"/>
    <col min="16137" max="16137" width="11.33203125" style="1" customWidth="1"/>
    <col min="16138" max="16138" width="5.33203125" style="1" customWidth="1"/>
    <col min="16139" max="16139" width="74.5546875" style="1" customWidth="1"/>
    <col min="16140" max="16140" width="0" style="1" hidden="1" customWidth="1"/>
    <col min="16141" max="16141" width="9.6640625" style="1" bestFit="1" customWidth="1"/>
    <col min="16142" max="16142" width="9.33203125" style="1" bestFit="1" customWidth="1"/>
    <col min="16143" max="16143" width="12" style="1" customWidth="1"/>
    <col min="16144" max="16144" width="12.109375" style="1" customWidth="1"/>
    <col min="16145" max="16145" width="14.44140625" style="1" customWidth="1"/>
    <col min="16146" max="16146" width="11.6640625" style="1" customWidth="1"/>
    <col min="16147" max="16147" width="11.6640625" style="1" bestFit="1" customWidth="1"/>
    <col min="16148" max="16148" width="11.6640625" style="1" customWidth="1"/>
    <col min="16149" max="16150" width="11.6640625" style="1" bestFit="1" customWidth="1"/>
    <col min="16151" max="16154" width="9.33203125" style="1" customWidth="1"/>
    <col min="16155" max="16384" width="9.109375" style="1"/>
  </cols>
  <sheetData>
    <row r="1" spans="1:29" ht="27" customHeight="1" x14ac:dyDescent="0.5">
      <c r="A1" s="4"/>
      <c r="B1" s="5" t="s">
        <v>0</v>
      </c>
      <c r="C1" s="57"/>
      <c r="D1" s="4"/>
      <c r="E1" s="4"/>
      <c r="F1" s="4"/>
      <c r="G1" s="3"/>
      <c r="H1" s="3"/>
      <c r="I1" s="282" t="s">
        <v>1</v>
      </c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58"/>
      <c r="W1" s="58"/>
      <c r="X1" s="58"/>
      <c r="Y1" s="58"/>
      <c r="Z1" s="58"/>
      <c r="AA1" s="58"/>
      <c r="AB1" s="58"/>
      <c r="AC1" s="58"/>
    </row>
    <row r="2" spans="1:29" ht="27" customHeight="1" x14ac:dyDescent="0.3">
      <c r="A2" s="4"/>
      <c r="B2" s="7" t="s">
        <v>2</v>
      </c>
      <c r="C2" s="7" t="s">
        <v>3</v>
      </c>
      <c r="D2" s="8" t="s">
        <v>4</v>
      </c>
      <c r="E2" s="8" t="s">
        <v>5</v>
      </c>
      <c r="F2" s="8" t="s">
        <v>6</v>
      </c>
      <c r="G2" s="3"/>
      <c r="H2" s="3"/>
      <c r="I2" s="18"/>
      <c r="J2" s="18"/>
      <c r="K2" s="11"/>
      <c r="L2" s="11"/>
      <c r="M2" s="283">
        <v>45992</v>
      </c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58"/>
      <c r="AB2" s="58"/>
      <c r="AC2" s="58"/>
    </row>
    <row r="3" spans="1:29" s="2" customFormat="1" ht="27" customHeight="1" x14ac:dyDescent="0.3">
      <c r="A3" s="4" t="s">
        <v>7</v>
      </c>
      <c r="B3" s="57">
        <v>6</v>
      </c>
      <c r="C3" s="57">
        <v>4</v>
      </c>
      <c r="D3" s="4">
        <v>4</v>
      </c>
      <c r="E3" s="4">
        <v>8</v>
      </c>
      <c r="F3" s="4">
        <v>4</v>
      </c>
      <c r="G3" s="3"/>
      <c r="H3" s="3"/>
      <c r="I3" s="60"/>
      <c r="J3" s="61"/>
      <c r="K3" s="62"/>
      <c r="L3" s="63" t="s">
        <v>8</v>
      </c>
      <c r="M3" s="284" t="s">
        <v>9</v>
      </c>
      <c r="N3" s="284"/>
      <c r="O3" s="284" t="s">
        <v>10</v>
      </c>
      <c r="P3" s="284"/>
      <c r="Q3" s="284" t="s">
        <v>11</v>
      </c>
      <c r="R3" s="284"/>
      <c r="S3" s="284" t="s">
        <v>12</v>
      </c>
      <c r="T3" s="284"/>
      <c r="U3" s="284" t="s">
        <v>13</v>
      </c>
      <c r="V3" s="284"/>
      <c r="W3" s="285" t="s">
        <v>14</v>
      </c>
      <c r="X3" s="285"/>
      <c r="Y3" s="286" t="s">
        <v>15</v>
      </c>
      <c r="Z3" s="286"/>
      <c r="AA3" s="62"/>
      <c r="AB3" s="62"/>
      <c r="AC3" s="62"/>
    </row>
    <row r="4" spans="1:29" s="2" customFormat="1" ht="27" customHeight="1" thickBot="1" x14ac:dyDescent="0.35">
      <c r="A4" s="4" t="s">
        <v>16</v>
      </c>
      <c r="B4" s="4">
        <v>4</v>
      </c>
      <c r="C4" s="4" t="s">
        <v>17</v>
      </c>
      <c r="D4" s="4">
        <v>8</v>
      </c>
      <c r="E4" s="4" t="s">
        <v>18</v>
      </c>
      <c r="F4" s="4"/>
      <c r="G4" s="60"/>
      <c r="H4" s="61"/>
      <c r="I4" s="61"/>
      <c r="J4" s="61"/>
      <c r="K4" s="62"/>
      <c r="L4" s="59"/>
      <c r="M4" s="281">
        <v>46153</v>
      </c>
      <c r="N4" s="281"/>
      <c r="O4" s="281">
        <f>M4+1</f>
        <v>46154</v>
      </c>
      <c r="P4" s="281"/>
      <c r="Q4" s="281">
        <f>O4+1</f>
        <v>46155</v>
      </c>
      <c r="R4" s="281"/>
      <c r="S4" s="281">
        <f>Q4+1</f>
        <v>46156</v>
      </c>
      <c r="T4" s="281"/>
      <c r="U4" s="281">
        <f>S4+1</f>
        <v>46157</v>
      </c>
      <c r="V4" s="281"/>
      <c r="W4" s="279">
        <f>U4+1</f>
        <v>46158</v>
      </c>
      <c r="X4" s="279"/>
      <c r="Y4" s="280">
        <f>W4+1</f>
        <v>46159</v>
      </c>
      <c r="Z4" s="280"/>
      <c r="AA4" s="62"/>
      <c r="AB4" s="62"/>
      <c r="AC4" s="62"/>
    </row>
    <row r="5" spans="1:29" s="3" customFormat="1" ht="15" customHeight="1" thickBot="1" x14ac:dyDescent="0.35">
      <c r="A5" s="8" t="s">
        <v>19</v>
      </c>
      <c r="B5" s="57">
        <v>7</v>
      </c>
      <c r="C5" s="57"/>
      <c r="D5" s="4"/>
      <c r="E5" s="4"/>
      <c r="F5" s="6"/>
      <c r="G5" s="287" t="s">
        <v>20</v>
      </c>
      <c r="H5" s="104"/>
      <c r="I5" s="9"/>
      <c r="J5" s="64" t="s">
        <v>21</v>
      </c>
      <c r="K5" s="64" t="s">
        <v>22</v>
      </c>
      <c r="L5" s="65"/>
      <c r="M5" s="66" t="s">
        <v>23</v>
      </c>
      <c r="N5" s="67" t="s">
        <v>24</v>
      </c>
      <c r="O5" s="67" t="s">
        <v>23</v>
      </c>
      <c r="P5" s="67" t="s">
        <v>24</v>
      </c>
      <c r="Q5" s="67" t="s">
        <v>23</v>
      </c>
      <c r="R5" s="67" t="s">
        <v>24</v>
      </c>
      <c r="S5" s="67" t="s">
        <v>23</v>
      </c>
      <c r="T5" s="67" t="s">
        <v>24</v>
      </c>
      <c r="U5" s="68" t="s">
        <v>23</v>
      </c>
      <c r="V5" s="69" t="s">
        <v>24</v>
      </c>
      <c r="W5" s="70"/>
      <c r="X5" s="71"/>
      <c r="Y5" s="72"/>
      <c r="Z5" s="73"/>
    </row>
    <row r="6" spans="1:29" s="3" customFormat="1" ht="15.75" customHeight="1" thickTop="1" thickBot="1" x14ac:dyDescent="0.35">
      <c r="B6" s="56"/>
      <c r="C6" s="56"/>
      <c r="G6" s="288"/>
      <c r="H6" s="289" t="s">
        <v>25</v>
      </c>
      <c r="I6" s="106"/>
      <c r="J6" s="116" t="str">
        <f>I40</f>
        <v>Tom 1</v>
      </c>
      <c r="K6" s="227" t="str">
        <f>J40</f>
        <v>Tom 4</v>
      </c>
      <c r="L6" s="214" t="s">
        <v>26</v>
      </c>
      <c r="M6" s="207"/>
      <c r="N6" s="196"/>
      <c r="O6" s="197"/>
      <c r="P6" s="197"/>
      <c r="Q6" s="196"/>
      <c r="R6" s="196">
        <v>11100</v>
      </c>
      <c r="S6" s="197"/>
      <c r="T6" s="197"/>
      <c r="U6" s="196"/>
      <c r="V6" s="198"/>
      <c r="W6" s="74"/>
      <c r="X6" s="75"/>
      <c r="Y6" s="76"/>
      <c r="Z6" s="77"/>
    </row>
    <row r="7" spans="1:29" s="3" customFormat="1" ht="15.75" customHeight="1" thickTop="1" thickBot="1" x14ac:dyDescent="0.35">
      <c r="B7" s="56"/>
      <c r="C7" s="56"/>
      <c r="G7" s="288"/>
      <c r="H7" s="289"/>
      <c r="I7" s="105"/>
      <c r="J7" s="117" t="str">
        <f>I41</f>
        <v>Tom 3</v>
      </c>
      <c r="K7" s="228" t="str">
        <f>J41</f>
        <v>Tom 2</v>
      </c>
      <c r="L7" s="215" t="s">
        <v>27</v>
      </c>
      <c r="M7" s="208"/>
      <c r="N7" s="97"/>
      <c r="O7" s="78"/>
      <c r="P7" s="78"/>
      <c r="Q7" s="97"/>
      <c r="R7" s="97">
        <v>111001</v>
      </c>
      <c r="S7" s="78"/>
      <c r="T7" s="78"/>
      <c r="U7" s="97"/>
      <c r="V7" s="199"/>
      <c r="W7" s="74"/>
      <c r="X7" s="75"/>
      <c r="Y7" s="76"/>
      <c r="Z7" s="77"/>
    </row>
    <row r="8" spans="1:29" s="3" customFormat="1" ht="15.75" customHeight="1" thickTop="1" thickBot="1" x14ac:dyDescent="0.35">
      <c r="B8" s="56"/>
      <c r="C8" s="56"/>
      <c r="G8" s="288"/>
      <c r="H8" s="289"/>
      <c r="I8" s="105"/>
      <c r="J8" s="117"/>
      <c r="K8" s="228"/>
      <c r="L8" s="215"/>
      <c r="M8" s="208"/>
      <c r="N8" s="97"/>
      <c r="O8" s="78"/>
      <c r="P8" s="78"/>
      <c r="Q8" s="97"/>
      <c r="R8" s="97"/>
      <c r="S8" s="78"/>
      <c r="T8" s="78"/>
      <c r="U8" s="97"/>
      <c r="V8" s="199"/>
      <c r="W8" s="74"/>
      <c r="X8" s="75"/>
      <c r="Y8" s="76"/>
      <c r="Z8" s="77"/>
    </row>
    <row r="9" spans="1:29" s="3" customFormat="1" ht="15.75" customHeight="1" thickTop="1" thickBot="1" x14ac:dyDescent="0.35">
      <c r="B9" s="56"/>
      <c r="C9" s="56"/>
      <c r="G9" s="288"/>
      <c r="H9" s="289"/>
      <c r="I9" s="259"/>
      <c r="J9" s="260"/>
      <c r="K9" s="261"/>
      <c r="L9" s="262"/>
      <c r="M9" s="208"/>
      <c r="N9" s="97"/>
      <c r="O9" s="78"/>
      <c r="P9" s="78"/>
      <c r="Q9" s="97"/>
      <c r="R9" s="97"/>
      <c r="S9" s="78"/>
      <c r="T9" s="78"/>
      <c r="U9" s="97"/>
      <c r="V9" s="199"/>
      <c r="W9" s="74"/>
      <c r="X9" s="75"/>
      <c r="Y9" s="76"/>
      <c r="Z9" s="77"/>
    </row>
    <row r="10" spans="1:29" s="3" customFormat="1" ht="15.75" customHeight="1" thickTop="1" thickBot="1" x14ac:dyDescent="0.35">
      <c r="B10" s="56"/>
      <c r="C10" s="56"/>
      <c r="G10" s="288"/>
      <c r="H10" s="289"/>
      <c r="I10" s="107"/>
      <c r="J10" s="229"/>
      <c r="K10" s="230"/>
      <c r="L10" s="216"/>
      <c r="M10" s="208"/>
      <c r="N10" s="97"/>
      <c r="O10" s="78"/>
      <c r="P10" s="78"/>
      <c r="Q10" s="97"/>
      <c r="R10" s="97"/>
      <c r="S10" s="78"/>
      <c r="T10" s="78"/>
      <c r="U10" s="97"/>
      <c r="V10" s="199"/>
      <c r="W10" s="74"/>
      <c r="X10" s="75"/>
      <c r="Y10" s="76"/>
      <c r="Z10" s="77"/>
    </row>
    <row r="11" spans="1:29" s="3" customFormat="1" ht="15.75" customHeight="1" thickTop="1" thickBot="1" x14ac:dyDescent="0.3">
      <c r="B11" s="60"/>
      <c r="G11" s="288"/>
      <c r="H11" s="289" t="s">
        <v>28</v>
      </c>
      <c r="I11" s="106"/>
      <c r="J11" s="116"/>
      <c r="K11" s="227" t="s">
        <v>98</v>
      </c>
      <c r="L11" s="217" t="s">
        <v>29</v>
      </c>
      <c r="M11" s="208">
        <v>20201</v>
      </c>
      <c r="N11" s="97">
        <v>20201</v>
      </c>
      <c r="O11" s="78"/>
      <c r="P11" s="78"/>
      <c r="Q11" s="97"/>
      <c r="R11" s="97"/>
      <c r="S11" s="78"/>
      <c r="T11" s="78"/>
      <c r="U11" s="97"/>
      <c r="V11" s="199"/>
      <c r="W11" s="74"/>
      <c r="X11" s="75"/>
      <c r="Y11" s="76"/>
      <c r="Z11" s="77"/>
    </row>
    <row r="12" spans="1:29" s="3" customFormat="1" ht="15.75" customHeight="1" thickTop="1" thickBot="1" x14ac:dyDescent="0.3">
      <c r="B12" s="60"/>
      <c r="G12" s="288"/>
      <c r="H12" s="289"/>
      <c r="I12" s="105"/>
      <c r="J12" s="16"/>
      <c r="K12" s="228" t="s">
        <v>98</v>
      </c>
      <c r="L12" s="215" t="s">
        <v>29</v>
      </c>
      <c r="M12" s="208"/>
      <c r="N12" s="97"/>
      <c r="O12" s="78"/>
      <c r="P12" s="78"/>
      <c r="Q12" s="97"/>
      <c r="R12" s="97"/>
      <c r="S12" s="78"/>
      <c r="T12" s="78"/>
      <c r="U12" s="97"/>
      <c r="V12" s="199"/>
      <c r="W12" s="74"/>
      <c r="X12" s="75"/>
      <c r="Y12" s="76"/>
      <c r="Z12" s="77"/>
    </row>
    <row r="13" spans="1:29" s="3" customFormat="1" ht="15.75" customHeight="1" thickTop="1" thickBot="1" x14ac:dyDescent="0.3">
      <c r="B13" s="60"/>
      <c r="G13" s="288"/>
      <c r="H13" s="289"/>
      <c r="I13" s="105"/>
      <c r="J13" s="16" t="s">
        <v>99</v>
      </c>
      <c r="K13" s="228"/>
      <c r="L13" s="215" t="s">
        <v>29</v>
      </c>
      <c r="M13" s="208"/>
      <c r="N13" s="97"/>
      <c r="O13" s="78"/>
      <c r="P13" s="78"/>
      <c r="Q13" s="97"/>
      <c r="R13" s="97"/>
      <c r="S13" s="78"/>
      <c r="T13" s="78"/>
      <c r="U13" s="97"/>
      <c r="V13" s="199"/>
      <c r="W13" s="74"/>
      <c r="X13" s="75"/>
      <c r="Y13" s="76"/>
      <c r="Z13" s="77"/>
    </row>
    <row r="14" spans="1:29" s="3" customFormat="1" ht="15.75" customHeight="1" thickTop="1" thickBot="1" x14ac:dyDescent="0.3">
      <c r="B14" s="60"/>
      <c r="G14" s="288"/>
      <c r="H14" s="289"/>
      <c r="I14" s="105"/>
      <c r="J14" s="16"/>
      <c r="K14" s="231" t="s">
        <v>98</v>
      </c>
      <c r="L14" s="215" t="s">
        <v>29</v>
      </c>
      <c r="M14" s="208"/>
      <c r="N14" s="97"/>
      <c r="O14" s="78"/>
      <c r="P14" s="78">
        <v>20202</v>
      </c>
      <c r="Q14" s="97"/>
      <c r="R14" s="97"/>
      <c r="S14" s="78"/>
      <c r="T14" s="78"/>
      <c r="U14" s="97"/>
      <c r="V14" s="199"/>
      <c r="W14" s="74"/>
      <c r="X14" s="75"/>
      <c r="Y14" s="76"/>
      <c r="Z14" s="77"/>
    </row>
    <row r="15" spans="1:29" s="3" customFormat="1" ht="15.75" customHeight="1" thickTop="1" thickBot="1" x14ac:dyDescent="0.3">
      <c r="B15" s="60"/>
      <c r="G15" s="288"/>
      <c r="H15" s="289"/>
      <c r="I15" s="107"/>
      <c r="J15" s="232"/>
      <c r="K15" s="230"/>
      <c r="L15" s="216"/>
      <c r="M15" s="208"/>
      <c r="N15" s="97"/>
      <c r="O15" s="78"/>
      <c r="P15" s="78"/>
      <c r="Q15" s="97"/>
      <c r="R15" s="97"/>
      <c r="S15" s="78"/>
      <c r="T15" s="78"/>
      <c r="U15" s="97"/>
      <c r="V15" s="199"/>
      <c r="W15" s="74"/>
      <c r="X15" s="75"/>
      <c r="Y15" s="76"/>
      <c r="Z15" s="77"/>
    </row>
    <row r="16" spans="1:29" s="3" customFormat="1" ht="15.75" customHeight="1" thickTop="1" thickBot="1" x14ac:dyDescent="0.35">
      <c r="B16" s="10"/>
      <c r="C16" s="56"/>
      <c r="G16" s="288"/>
      <c r="H16" s="290" t="s">
        <v>2</v>
      </c>
      <c r="I16" s="106"/>
      <c r="J16" s="116"/>
      <c r="K16" s="233" t="s">
        <v>100</v>
      </c>
      <c r="L16" s="181" t="s">
        <v>30</v>
      </c>
      <c r="M16" s="208">
        <v>33000</v>
      </c>
      <c r="N16" s="97">
        <v>33000</v>
      </c>
      <c r="O16" s="78"/>
      <c r="P16" s="78"/>
      <c r="Q16" s="97"/>
      <c r="R16" s="97"/>
      <c r="S16" s="78"/>
      <c r="T16" s="78"/>
      <c r="U16" s="97"/>
      <c r="V16" s="199"/>
      <c r="W16" s="74"/>
      <c r="X16" s="75"/>
      <c r="Y16" s="76"/>
      <c r="Z16" s="77"/>
      <c r="AC16" s="21"/>
    </row>
    <row r="17" spans="2:26" s="3" customFormat="1" ht="15.75" customHeight="1" thickTop="1" thickBot="1" x14ac:dyDescent="0.35">
      <c r="B17" s="3" t="s">
        <v>31</v>
      </c>
      <c r="G17" s="288"/>
      <c r="H17" s="290"/>
      <c r="I17" s="105"/>
      <c r="J17" s="16" t="s">
        <v>100</v>
      </c>
      <c r="K17" s="231"/>
      <c r="L17" s="182" t="s">
        <v>30</v>
      </c>
      <c r="M17" s="208"/>
      <c r="N17" s="97"/>
      <c r="O17" s="78"/>
      <c r="P17" s="78"/>
      <c r="Q17" s="97"/>
      <c r="R17" s="97"/>
      <c r="S17" s="78">
        <v>33001</v>
      </c>
      <c r="T17" s="78">
        <v>33001</v>
      </c>
      <c r="U17" s="97"/>
      <c r="V17" s="199"/>
      <c r="W17" s="74"/>
      <c r="X17" s="75"/>
      <c r="Y17" s="76"/>
      <c r="Z17" s="77"/>
    </row>
    <row r="18" spans="2:26" s="3" customFormat="1" ht="15.75" customHeight="1" thickTop="1" thickBot="1" x14ac:dyDescent="0.35">
      <c r="B18" s="79"/>
      <c r="C18" s="11" t="s">
        <v>32</v>
      </c>
      <c r="G18" s="288"/>
      <c r="H18" s="290"/>
      <c r="I18" s="105"/>
      <c r="J18" s="16"/>
      <c r="K18" s="231" t="s">
        <v>99</v>
      </c>
      <c r="L18" s="182" t="s">
        <v>33</v>
      </c>
      <c r="M18" s="208">
        <v>33002</v>
      </c>
      <c r="N18" s="97">
        <v>33002</v>
      </c>
      <c r="O18" s="78"/>
      <c r="P18" s="78"/>
      <c r="Q18" s="97"/>
      <c r="R18" s="97"/>
      <c r="S18" s="78"/>
      <c r="T18" s="78"/>
      <c r="U18" s="97"/>
      <c r="V18" s="199"/>
      <c r="W18" s="74"/>
      <c r="X18" s="75"/>
      <c r="Y18" s="76"/>
      <c r="Z18" s="77"/>
    </row>
    <row r="19" spans="2:26" s="3" customFormat="1" ht="15.75" customHeight="1" thickTop="1" thickBot="1" x14ac:dyDescent="0.35">
      <c r="B19" s="80"/>
      <c r="C19" s="11" t="s">
        <v>34</v>
      </c>
      <c r="G19" s="288"/>
      <c r="H19" s="290"/>
      <c r="I19" s="105"/>
      <c r="J19" s="16" t="s">
        <v>99</v>
      </c>
      <c r="K19" s="231"/>
      <c r="L19" s="183" t="s">
        <v>33</v>
      </c>
      <c r="M19" s="208"/>
      <c r="N19" s="97"/>
      <c r="O19" s="78"/>
      <c r="P19" s="78"/>
      <c r="Q19" s="97"/>
      <c r="R19" s="97"/>
      <c r="S19" s="200"/>
      <c r="T19" s="200"/>
      <c r="U19" s="97"/>
      <c r="V19" s="199"/>
      <c r="W19" s="74"/>
      <c r="X19" s="75"/>
      <c r="Y19" s="76"/>
      <c r="Z19" s="77"/>
    </row>
    <row r="20" spans="2:26" s="3" customFormat="1" ht="15.75" customHeight="1" thickTop="1" thickBot="1" x14ac:dyDescent="0.35">
      <c r="B20" s="81"/>
      <c r="C20" s="11" t="s">
        <v>35</v>
      </c>
      <c r="G20" s="288"/>
      <c r="H20" s="290"/>
      <c r="I20" s="107"/>
      <c r="J20" s="232"/>
      <c r="K20" s="234"/>
      <c r="L20" s="185"/>
      <c r="M20" s="208"/>
      <c r="N20" s="97"/>
      <c r="O20" s="78"/>
      <c r="P20" s="78"/>
      <c r="Q20" s="97"/>
      <c r="R20" s="97"/>
      <c r="S20" s="78"/>
      <c r="T20" s="78"/>
      <c r="U20" s="97"/>
      <c r="V20" s="199"/>
      <c r="W20" s="74"/>
      <c r="X20" s="75"/>
      <c r="Y20" s="76"/>
      <c r="Z20" s="77"/>
    </row>
    <row r="21" spans="2:26" s="3" customFormat="1" ht="15.75" customHeight="1" thickTop="1" thickBot="1" x14ac:dyDescent="0.35">
      <c r="B21" s="82"/>
      <c r="C21" s="11" t="s">
        <v>36</v>
      </c>
      <c r="G21" s="288"/>
      <c r="H21" s="291" t="s">
        <v>37</v>
      </c>
      <c r="I21" s="235"/>
      <c r="J21" s="236"/>
      <c r="K21" s="237" t="s">
        <v>100</v>
      </c>
      <c r="L21" s="218" t="s">
        <v>38</v>
      </c>
      <c r="M21" s="209"/>
      <c r="N21" s="201"/>
      <c r="O21" s="202"/>
      <c r="P21" s="202"/>
      <c r="Q21" s="201"/>
      <c r="R21" s="97"/>
      <c r="S21" s="202"/>
      <c r="T21" s="202"/>
      <c r="U21" s="201"/>
      <c r="V21" s="203"/>
      <c r="W21" s="74">
        <v>40000</v>
      </c>
      <c r="X21" s="75"/>
      <c r="Y21" s="76"/>
      <c r="Z21" s="77"/>
    </row>
    <row r="22" spans="2:26" s="3" customFormat="1" ht="15.75" customHeight="1" thickTop="1" thickBot="1" x14ac:dyDescent="0.35">
      <c r="B22" s="56"/>
      <c r="C22" s="56"/>
      <c r="G22" s="288"/>
      <c r="H22" s="291"/>
      <c r="I22" s="263"/>
      <c r="J22" s="264"/>
      <c r="K22" s="265"/>
      <c r="L22" s="266"/>
      <c r="M22" s="209"/>
      <c r="N22" s="201"/>
      <c r="O22" s="202"/>
      <c r="P22" s="202"/>
      <c r="Q22" s="201"/>
      <c r="R22" s="97"/>
      <c r="S22" s="202"/>
      <c r="T22" s="202"/>
      <c r="U22" s="201"/>
      <c r="V22" s="203"/>
      <c r="W22" s="74"/>
      <c r="X22" s="75"/>
      <c r="Y22" s="76"/>
      <c r="Z22" s="77"/>
    </row>
    <row r="23" spans="2:26" s="3" customFormat="1" ht="15.75" customHeight="1" thickTop="1" thickBot="1" x14ac:dyDescent="0.35">
      <c r="B23" s="56"/>
      <c r="C23" s="56"/>
      <c r="G23" s="288"/>
      <c r="H23" s="291"/>
      <c r="I23" s="238"/>
      <c r="J23" s="239"/>
      <c r="K23" s="240" t="s">
        <v>100</v>
      </c>
      <c r="L23" s="219" t="s">
        <v>39</v>
      </c>
      <c r="M23" s="209"/>
      <c r="N23" s="201"/>
      <c r="O23" s="202"/>
      <c r="P23" s="202"/>
      <c r="Q23" s="201"/>
      <c r="R23" s="97"/>
      <c r="S23" s="202"/>
      <c r="T23" s="202"/>
      <c r="U23" s="201"/>
      <c r="V23" s="203"/>
      <c r="W23" s="74">
        <v>40001</v>
      </c>
      <c r="X23" s="75"/>
      <c r="Y23" s="76"/>
      <c r="Z23" s="77"/>
    </row>
    <row r="24" spans="2:26" s="3" customFormat="1" ht="15.75" customHeight="1" thickTop="1" thickBot="1" x14ac:dyDescent="0.35">
      <c r="B24" s="56"/>
      <c r="C24" s="56"/>
      <c r="G24" s="288"/>
      <c r="H24" s="291"/>
      <c r="I24" s="241"/>
      <c r="J24" s="242"/>
      <c r="K24" s="243"/>
      <c r="L24" s="220"/>
      <c r="M24" s="209"/>
      <c r="N24" s="201"/>
      <c r="O24" s="202"/>
      <c r="P24" s="202"/>
      <c r="Q24" s="201"/>
      <c r="R24" s="97"/>
      <c r="S24" s="202"/>
      <c r="T24" s="202"/>
      <c r="U24" s="201"/>
      <c r="V24" s="203"/>
      <c r="W24" s="74"/>
      <c r="X24" s="75"/>
      <c r="Y24" s="76"/>
      <c r="Z24" s="77"/>
    </row>
    <row r="25" spans="2:26" s="3" customFormat="1" ht="15.75" customHeight="1" thickTop="1" thickBot="1" x14ac:dyDescent="0.35">
      <c r="B25" s="56"/>
      <c r="C25" s="56"/>
      <c r="G25" s="288"/>
      <c r="H25" s="292" t="s">
        <v>40</v>
      </c>
      <c r="I25" s="106"/>
      <c r="J25" s="244" t="s">
        <v>104</v>
      </c>
      <c r="K25" s="227" t="s">
        <v>101</v>
      </c>
      <c r="L25" s="184" t="s">
        <v>41</v>
      </c>
      <c r="M25" s="208"/>
      <c r="N25" s="97"/>
      <c r="O25" s="78">
        <v>10001</v>
      </c>
      <c r="P25" s="78">
        <v>10002</v>
      </c>
      <c r="Q25" s="97"/>
      <c r="R25" s="97"/>
      <c r="S25" s="115"/>
      <c r="T25" s="115"/>
      <c r="U25" s="97"/>
      <c r="V25" s="199"/>
      <c r="W25" s="74"/>
      <c r="X25" s="75"/>
      <c r="Y25" s="76"/>
      <c r="Z25" s="77"/>
    </row>
    <row r="26" spans="2:26" s="3" customFormat="1" ht="15.75" customHeight="1" thickTop="1" thickBot="1" x14ac:dyDescent="0.35">
      <c r="B26" s="56"/>
      <c r="C26" s="56"/>
      <c r="G26" s="288"/>
      <c r="H26" s="292"/>
      <c r="I26" s="267"/>
      <c r="J26" s="268"/>
      <c r="K26" s="269"/>
      <c r="L26" s="270"/>
      <c r="M26" s="208"/>
      <c r="N26" s="97"/>
      <c r="O26" s="78"/>
      <c r="P26" s="78"/>
      <c r="Q26" s="97"/>
      <c r="R26" s="97"/>
      <c r="S26" s="115"/>
      <c r="T26" s="115"/>
      <c r="U26" s="97"/>
      <c r="V26" s="199"/>
      <c r="W26" s="74"/>
      <c r="X26" s="75"/>
      <c r="Y26" s="76"/>
      <c r="Z26" s="77"/>
    </row>
    <row r="27" spans="2:26" s="3" customFormat="1" ht="15.75" customHeight="1" thickTop="1" thickBot="1" x14ac:dyDescent="0.35">
      <c r="B27" s="56"/>
      <c r="C27" s="56"/>
      <c r="G27" s="288"/>
      <c r="H27" s="292"/>
      <c r="I27" s="105"/>
      <c r="J27" s="96" t="s">
        <v>104</v>
      </c>
      <c r="K27" s="228" t="s">
        <v>103</v>
      </c>
      <c r="L27" s="221" t="s">
        <v>102</v>
      </c>
      <c r="M27" s="208"/>
      <c r="N27" s="97"/>
      <c r="O27" s="78">
        <v>90901</v>
      </c>
      <c r="P27" s="78">
        <v>90902</v>
      </c>
      <c r="Q27" s="97"/>
      <c r="R27" s="97"/>
      <c r="S27" s="115"/>
      <c r="T27" s="115"/>
      <c r="U27" s="97"/>
      <c r="V27" s="199"/>
      <c r="W27" s="74"/>
      <c r="X27" s="75"/>
      <c r="Y27" s="76"/>
      <c r="Z27" s="77"/>
    </row>
    <row r="28" spans="2:26" s="3" customFormat="1" ht="15.75" customHeight="1" thickTop="1" thickBot="1" x14ac:dyDescent="0.35">
      <c r="B28" s="56"/>
      <c r="C28" s="56"/>
      <c r="G28" s="288"/>
      <c r="H28" s="292"/>
      <c r="I28" s="105"/>
      <c r="J28" s="96"/>
      <c r="K28" s="228"/>
      <c r="L28" s="221" t="s">
        <v>42</v>
      </c>
      <c r="M28" s="208"/>
      <c r="N28" s="97"/>
      <c r="O28" s="78"/>
      <c r="P28" s="78"/>
      <c r="Q28" s="97"/>
      <c r="R28" s="97"/>
      <c r="S28" s="78"/>
      <c r="T28" s="78"/>
      <c r="U28" s="97"/>
      <c r="V28" s="199"/>
      <c r="W28" s="74"/>
      <c r="X28" s="75"/>
      <c r="Y28" s="76"/>
      <c r="Z28" s="77"/>
    </row>
    <row r="29" spans="2:26" s="3" customFormat="1" ht="15.75" customHeight="1" thickTop="1" thickBot="1" x14ac:dyDescent="0.35">
      <c r="B29" s="56"/>
      <c r="C29" s="56"/>
      <c r="G29" s="288"/>
      <c r="H29" s="292"/>
      <c r="I29" s="105"/>
      <c r="J29" s="96"/>
      <c r="K29" s="228"/>
      <c r="L29" s="221"/>
      <c r="M29" s="208"/>
      <c r="N29" s="97"/>
      <c r="O29" s="78"/>
      <c r="P29" s="78"/>
      <c r="Q29" s="97"/>
      <c r="R29" s="97"/>
      <c r="S29" s="78"/>
      <c r="T29" s="78"/>
      <c r="U29" s="97"/>
      <c r="V29" s="199"/>
      <c r="W29" s="74"/>
      <c r="X29" s="75"/>
      <c r="Y29" s="76"/>
      <c r="Z29" s="77"/>
    </row>
    <row r="30" spans="2:26" s="3" customFormat="1" ht="15.75" customHeight="1" thickTop="1" thickBot="1" x14ac:dyDescent="0.35">
      <c r="B30" s="56"/>
      <c r="C30" s="56"/>
      <c r="G30" s="288"/>
      <c r="H30" s="292"/>
      <c r="I30" s="105"/>
      <c r="J30" s="96"/>
      <c r="K30" s="228"/>
      <c r="L30" s="221"/>
      <c r="M30" s="208"/>
      <c r="N30" s="97"/>
      <c r="O30" s="78"/>
      <c r="P30" s="78"/>
      <c r="Q30" s="97"/>
      <c r="R30" s="97"/>
      <c r="S30" s="78"/>
      <c r="T30" s="78"/>
      <c r="U30" s="97"/>
      <c r="V30" s="199"/>
      <c r="W30" s="74"/>
      <c r="X30" s="75"/>
      <c r="Y30" s="76"/>
      <c r="Z30" s="77"/>
    </row>
    <row r="31" spans="2:26" s="3" customFormat="1" ht="15.75" customHeight="1" thickTop="1" thickBot="1" x14ac:dyDescent="0.35">
      <c r="B31" s="56"/>
      <c r="C31" s="56"/>
      <c r="G31" s="288"/>
      <c r="H31" s="292"/>
      <c r="I31" s="105"/>
      <c r="J31" s="96"/>
      <c r="K31" s="228"/>
      <c r="L31" s="221" t="s">
        <v>43</v>
      </c>
      <c r="M31" s="208"/>
      <c r="N31" s="97"/>
      <c r="O31" s="78"/>
      <c r="P31" s="78"/>
      <c r="Q31" s="97"/>
      <c r="R31" s="97"/>
      <c r="S31" s="78"/>
      <c r="T31" s="78"/>
      <c r="U31" s="97"/>
      <c r="V31" s="199"/>
      <c r="W31" s="74"/>
      <c r="X31" s="75"/>
      <c r="Y31" s="76"/>
      <c r="Z31" s="77"/>
    </row>
    <row r="32" spans="2:26" s="3" customFormat="1" ht="15.75" customHeight="1" thickTop="1" thickBot="1" x14ac:dyDescent="0.35">
      <c r="B32" s="56"/>
      <c r="C32" s="56"/>
      <c r="G32" s="288"/>
      <c r="H32" s="292"/>
      <c r="I32" s="107"/>
      <c r="J32" s="245"/>
      <c r="K32" s="230"/>
      <c r="L32" s="185"/>
      <c r="M32" s="208"/>
      <c r="N32" s="97"/>
      <c r="O32" s="78"/>
      <c r="P32" s="78"/>
      <c r="Q32" s="97"/>
      <c r="R32" s="97"/>
      <c r="S32" s="78"/>
      <c r="T32" s="78"/>
      <c r="U32" s="97"/>
      <c r="V32" s="199"/>
      <c r="W32" s="74"/>
      <c r="X32" s="75"/>
      <c r="Y32" s="76"/>
      <c r="Z32" s="77"/>
    </row>
    <row r="33" spans="1:29" s="3" customFormat="1" ht="15.75" customHeight="1" thickTop="1" thickBot="1" x14ac:dyDescent="0.35">
      <c r="B33" s="56"/>
      <c r="C33" s="56"/>
      <c r="G33" s="288"/>
      <c r="H33" s="292" t="s">
        <v>44</v>
      </c>
      <c r="I33" s="106"/>
      <c r="J33" s="244"/>
      <c r="K33" s="227"/>
      <c r="L33" s="184"/>
      <c r="M33" s="208"/>
      <c r="N33" s="97"/>
      <c r="O33" s="78"/>
      <c r="P33" s="78"/>
      <c r="Q33" s="97"/>
      <c r="R33" s="97"/>
      <c r="S33" s="78"/>
      <c r="T33" s="78"/>
      <c r="U33" s="97"/>
      <c r="V33" s="199"/>
      <c r="W33" s="74"/>
      <c r="X33" s="75"/>
      <c r="Y33" s="76"/>
      <c r="Z33" s="77"/>
    </row>
    <row r="34" spans="1:29" s="3" customFormat="1" ht="15.75" customHeight="1" thickTop="1" thickBot="1" x14ac:dyDescent="0.35">
      <c r="B34" s="56"/>
      <c r="C34" s="56"/>
      <c r="G34" s="288"/>
      <c r="H34" s="292"/>
      <c r="I34" s="271"/>
      <c r="J34" s="272"/>
      <c r="K34" s="273"/>
      <c r="L34" s="274"/>
      <c r="M34" s="275"/>
      <c r="N34" s="276"/>
      <c r="O34" s="277"/>
      <c r="P34" s="277"/>
      <c r="Q34" s="276"/>
      <c r="R34" s="276"/>
      <c r="S34" s="277"/>
      <c r="T34" s="277"/>
      <c r="U34" s="276"/>
      <c r="V34" s="278"/>
      <c r="W34" s="74"/>
      <c r="X34" s="75"/>
      <c r="Y34" s="76"/>
      <c r="Z34" s="77"/>
    </row>
    <row r="35" spans="1:29" s="3" customFormat="1" ht="15.75" customHeight="1" thickTop="1" thickBot="1" x14ac:dyDescent="0.35">
      <c r="B35" s="56"/>
      <c r="C35" s="56"/>
      <c r="G35" s="288"/>
      <c r="H35" s="292"/>
      <c r="I35" s="107"/>
      <c r="J35" s="245"/>
      <c r="K35" s="230"/>
      <c r="L35" s="185"/>
      <c r="M35" s="210"/>
      <c r="N35" s="343"/>
      <c r="O35" s="205"/>
      <c r="P35" s="205"/>
      <c r="Q35" s="204"/>
      <c r="R35" s="204"/>
      <c r="S35" s="205"/>
      <c r="T35" s="205"/>
      <c r="U35" s="204"/>
      <c r="V35" s="206"/>
      <c r="W35" s="74"/>
      <c r="X35" s="75"/>
      <c r="Y35" s="76"/>
      <c r="Z35" s="77"/>
    </row>
    <row r="36" spans="1:29" s="3" customFormat="1" ht="18" customHeight="1" thickTop="1" thickBot="1" x14ac:dyDescent="0.35">
      <c r="B36" s="56"/>
      <c r="C36" s="56"/>
      <c r="H36" s="293" t="s">
        <v>45</v>
      </c>
      <c r="I36" s="175"/>
      <c r="J36" s="176"/>
      <c r="K36" s="246"/>
      <c r="L36" s="222"/>
      <c r="M36" s="211"/>
      <c r="N36" s="186"/>
      <c r="O36" s="186"/>
      <c r="P36" s="186"/>
      <c r="Q36" s="186"/>
      <c r="R36" s="186"/>
      <c r="S36" s="186"/>
      <c r="T36" s="186"/>
      <c r="U36" s="186"/>
      <c r="V36" s="187"/>
      <c r="W36" s="83"/>
      <c r="X36" s="84"/>
      <c r="Y36" s="85"/>
      <c r="Z36" s="86"/>
    </row>
    <row r="37" spans="1:29" s="3" customFormat="1" ht="16.2" thickBot="1" x14ac:dyDescent="0.35">
      <c r="B37" s="56"/>
      <c r="C37" s="56"/>
      <c r="H37" s="294"/>
      <c r="I37" s="177"/>
      <c r="J37" s="178"/>
      <c r="K37" s="247" t="s">
        <v>98</v>
      </c>
      <c r="L37" s="223" t="s">
        <v>47</v>
      </c>
      <c r="M37" s="212" t="s">
        <v>48</v>
      </c>
      <c r="N37" s="168" t="s">
        <v>48</v>
      </c>
      <c r="O37" s="168"/>
      <c r="P37" s="168"/>
      <c r="Q37" s="168"/>
      <c r="R37" s="168"/>
      <c r="S37" s="168"/>
      <c r="T37" s="168"/>
      <c r="U37" s="168"/>
      <c r="V37" s="169"/>
      <c r="W37" s="164"/>
      <c r="X37" s="165"/>
      <c r="Y37" s="166"/>
      <c r="Z37" s="167"/>
    </row>
    <row r="38" spans="1:29" s="3" customFormat="1" ht="16.2" thickBot="1" x14ac:dyDescent="0.3">
      <c r="B38" s="91"/>
      <c r="C38" s="91"/>
      <c r="H38" s="294"/>
      <c r="I38" s="177"/>
      <c r="J38" s="178"/>
      <c r="K38" s="247"/>
      <c r="L38" s="223"/>
      <c r="M38" s="212"/>
      <c r="N38" s="168"/>
      <c r="O38" s="168"/>
      <c r="P38" s="168"/>
      <c r="Q38" s="168"/>
      <c r="R38" s="168"/>
      <c r="S38" s="168"/>
      <c r="T38" s="168"/>
      <c r="U38" s="168"/>
      <c r="V38" s="169"/>
      <c r="W38" s="164"/>
      <c r="X38" s="165"/>
      <c r="Y38" s="166"/>
      <c r="Z38" s="167"/>
    </row>
    <row r="39" spans="1:29" s="3" customFormat="1" ht="16.2" thickBot="1" x14ac:dyDescent="0.3">
      <c r="B39" s="91"/>
      <c r="C39" s="91"/>
      <c r="H39" s="295"/>
      <c r="I39" s="179"/>
      <c r="J39" s="180"/>
      <c r="K39" s="248"/>
      <c r="L39" s="224"/>
      <c r="M39" s="213"/>
      <c r="N39" s="173"/>
      <c r="O39" s="173"/>
      <c r="P39" s="173"/>
      <c r="Q39" s="173"/>
      <c r="R39" s="173"/>
      <c r="S39" s="173"/>
      <c r="T39" s="173"/>
      <c r="U39" s="173"/>
      <c r="V39" s="174"/>
      <c r="W39" s="164"/>
      <c r="X39" s="165"/>
      <c r="Y39" s="166"/>
      <c r="Z39" s="167"/>
    </row>
    <row r="40" spans="1:29" s="3" customFormat="1" ht="16.8" thickTop="1" thickBot="1" x14ac:dyDescent="0.3">
      <c r="B40" s="91"/>
      <c r="C40" s="91"/>
      <c r="H40" s="296" t="s">
        <v>49</v>
      </c>
      <c r="I40" s="249" t="s">
        <v>98</v>
      </c>
      <c r="J40" s="250" t="s">
        <v>99</v>
      </c>
      <c r="K40" s="251"/>
      <c r="L40" s="225" t="s">
        <v>50</v>
      </c>
      <c r="M40" s="170">
        <v>4</v>
      </c>
      <c r="N40" s="171" t="s">
        <v>51</v>
      </c>
      <c r="O40" s="12">
        <v>4</v>
      </c>
      <c r="P40" s="172" t="s">
        <v>51</v>
      </c>
      <c r="Q40" s="170">
        <v>4</v>
      </c>
      <c r="R40" s="171" t="s">
        <v>51</v>
      </c>
      <c r="S40" s="170">
        <v>6</v>
      </c>
      <c r="T40" s="171" t="s">
        <v>52</v>
      </c>
      <c r="U40" s="170">
        <v>6</v>
      </c>
      <c r="V40" s="171" t="s">
        <v>52</v>
      </c>
      <c r="W40" s="87">
        <v>6</v>
      </c>
      <c r="X40" s="88" t="s">
        <v>52</v>
      </c>
      <c r="Y40" s="89">
        <v>6</v>
      </c>
      <c r="Z40" s="90" t="s">
        <v>52</v>
      </c>
    </row>
    <row r="41" spans="1:29" s="3" customFormat="1" ht="16.5" customHeight="1" thickBot="1" x14ac:dyDescent="0.3">
      <c r="B41" s="91"/>
      <c r="C41" s="91"/>
      <c r="H41" s="297"/>
      <c r="I41" s="252" t="s">
        <v>100</v>
      </c>
      <c r="J41" s="253" t="s">
        <v>101</v>
      </c>
      <c r="K41" s="254" t="str">
        <f>IF(C41&gt;0,VLOOKUP(C41,$C$48:$D$55,2)," ")</f>
        <v xml:space="preserve"> </v>
      </c>
      <c r="L41" s="226" t="s">
        <v>53</v>
      </c>
      <c r="M41" s="188">
        <v>7</v>
      </c>
      <c r="N41" s="189" t="s">
        <v>54</v>
      </c>
      <c r="O41" s="190">
        <v>7</v>
      </c>
      <c r="P41" s="191" t="s">
        <v>54</v>
      </c>
      <c r="Q41" s="188">
        <v>7</v>
      </c>
      <c r="R41" s="189" t="s">
        <v>54</v>
      </c>
      <c r="S41" s="188">
        <v>1</v>
      </c>
      <c r="T41" s="189" t="s">
        <v>7</v>
      </c>
      <c r="U41" s="188">
        <v>1</v>
      </c>
      <c r="V41" s="189" t="s">
        <v>7</v>
      </c>
      <c r="W41" s="192">
        <v>1</v>
      </c>
      <c r="X41" s="193" t="s">
        <v>7</v>
      </c>
      <c r="Y41" s="194">
        <v>1</v>
      </c>
      <c r="Z41" s="195" t="s">
        <v>7</v>
      </c>
    </row>
    <row r="42" spans="1:29" s="3" customFormat="1" ht="16.5" customHeight="1" thickTop="1" x14ac:dyDescent="0.25">
      <c r="B42" s="91"/>
      <c r="C42" s="91"/>
      <c r="H42" s="92"/>
      <c r="I42" s="298" t="s">
        <v>55</v>
      </c>
      <c r="J42" s="299"/>
      <c r="K42" s="300"/>
      <c r="L42" s="93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</row>
    <row r="43" spans="1:29" s="3" customFormat="1" ht="16.5" customHeight="1" x14ac:dyDescent="0.25">
      <c r="B43" s="91"/>
      <c r="C43" s="91"/>
      <c r="H43" s="92"/>
      <c r="I43" s="301" t="s">
        <v>56</v>
      </c>
      <c r="J43" s="302"/>
      <c r="K43" s="303"/>
      <c r="L43" s="95"/>
      <c r="M43" s="118"/>
      <c r="N43" s="118"/>
      <c r="O43" s="118"/>
      <c r="P43" s="119"/>
      <c r="Q43" s="119"/>
      <c r="R43" s="119"/>
      <c r="S43" s="118"/>
      <c r="T43" s="118"/>
      <c r="U43" s="118"/>
      <c r="V43" s="118"/>
      <c r="W43" s="301" t="s">
        <v>56</v>
      </c>
      <c r="X43" s="302"/>
      <c r="Y43" s="303"/>
      <c r="Z43" s="94"/>
    </row>
    <row r="44" spans="1:29" ht="15" customHeight="1" x14ac:dyDescent="0.3">
      <c r="A44" s="3"/>
      <c r="B44" s="91"/>
      <c r="C44" s="91"/>
      <c r="E44" s="3"/>
      <c r="F44" s="3"/>
      <c r="G44" s="3"/>
      <c r="H44" s="92"/>
      <c r="I44" s="301" t="s">
        <v>46</v>
      </c>
      <c r="J44" s="302"/>
      <c r="K44" s="303"/>
      <c r="L44" s="95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301" t="s">
        <v>46</v>
      </c>
      <c r="X44" s="302"/>
      <c r="Y44" s="303"/>
      <c r="Z44" s="94"/>
      <c r="AA44" s="3"/>
      <c r="AB44" s="3"/>
      <c r="AC44" s="3"/>
    </row>
    <row r="45" spans="1:29" ht="15" customHeight="1" x14ac:dyDescent="0.3">
      <c r="A45" s="3"/>
      <c r="B45" s="91"/>
      <c r="C45" s="91"/>
      <c r="D45" s="3"/>
      <c r="E45" s="3"/>
      <c r="F45" s="3"/>
      <c r="G45" s="3"/>
      <c r="H45" s="92"/>
      <c r="I45" s="301" t="s">
        <v>57</v>
      </c>
      <c r="J45" s="302"/>
      <c r="K45" s="303"/>
      <c r="L45" s="95"/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301" t="s">
        <v>57</v>
      </c>
      <c r="X45" s="302"/>
      <c r="Y45" s="303"/>
      <c r="Z45" s="94"/>
      <c r="AA45" s="3"/>
      <c r="AB45" s="3"/>
      <c r="AC45" s="3"/>
    </row>
    <row r="46" spans="1:29" ht="18.75" customHeight="1" x14ac:dyDescent="0.3">
      <c r="A46" s="3"/>
      <c r="B46" s="91"/>
      <c r="C46" s="91"/>
      <c r="D46" s="3"/>
      <c r="E46" s="3"/>
      <c r="F46" s="3"/>
      <c r="G46" s="3"/>
      <c r="H46" s="92"/>
      <c r="I46" s="301" t="s">
        <v>58</v>
      </c>
      <c r="J46" s="302"/>
      <c r="K46" s="303"/>
      <c r="L46" s="95"/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301" t="s">
        <v>58</v>
      </c>
      <c r="X46" s="302"/>
      <c r="Y46" s="303"/>
      <c r="Z46" s="94"/>
      <c r="AA46" s="3"/>
      <c r="AB46" s="3"/>
      <c r="AC46" s="3"/>
    </row>
    <row r="47" spans="1:29" ht="18.75" customHeight="1" x14ac:dyDescent="0.3">
      <c r="A47" s="3"/>
      <c r="B47" s="91"/>
      <c r="C47" s="91"/>
      <c r="D47" s="3"/>
      <c r="E47" s="3"/>
      <c r="F47" s="3"/>
      <c r="G47" s="3"/>
      <c r="H47" s="92"/>
      <c r="I47" s="301" t="s">
        <v>59</v>
      </c>
      <c r="J47" s="302"/>
      <c r="K47" s="303"/>
      <c r="L47" s="95"/>
      <c r="M47" s="118"/>
      <c r="N47" s="118"/>
      <c r="O47" s="118"/>
      <c r="P47" s="118"/>
      <c r="Q47" s="119"/>
      <c r="R47" s="119"/>
      <c r="S47" s="118"/>
      <c r="T47" s="118"/>
      <c r="U47" s="118"/>
      <c r="V47" s="118"/>
      <c r="W47" s="301" t="s">
        <v>59</v>
      </c>
      <c r="X47" s="302"/>
      <c r="Y47" s="303"/>
      <c r="Z47" s="94"/>
      <c r="AA47" s="3"/>
      <c r="AB47" s="3"/>
      <c r="AC47" s="3"/>
    </row>
    <row r="48" spans="1:29" x14ac:dyDescent="0.3">
      <c r="A48" s="58"/>
      <c r="B48" s="58"/>
      <c r="K48" s="13"/>
      <c r="L48" s="13"/>
      <c r="M48" s="99"/>
      <c r="N48" s="99"/>
      <c r="O48" s="99"/>
      <c r="P48" s="99"/>
      <c r="Q48" s="99"/>
      <c r="R48" s="99"/>
      <c r="S48" s="99"/>
      <c r="T48" s="99"/>
      <c r="U48" s="61"/>
      <c r="V48" s="58"/>
      <c r="W48" s="58"/>
      <c r="X48" s="58"/>
      <c r="Y48" s="58"/>
      <c r="Z48" s="58"/>
      <c r="AA48" s="58"/>
      <c r="AB48" s="58"/>
      <c r="AC48" s="58"/>
    </row>
    <row r="49" spans="1:29" x14ac:dyDescent="0.3">
      <c r="A49" s="58"/>
      <c r="B49" s="58"/>
      <c r="K49" s="13"/>
      <c r="L49" s="13"/>
      <c r="M49" s="99"/>
      <c r="N49" s="99"/>
      <c r="O49" s="99"/>
      <c r="P49" s="99"/>
      <c r="Q49" s="99"/>
      <c r="R49" s="99"/>
      <c r="S49" s="99"/>
      <c r="T49" s="99"/>
      <c r="U49" s="60"/>
      <c r="V49" s="58"/>
      <c r="W49" s="58"/>
      <c r="X49" s="58"/>
      <c r="Y49" s="58"/>
      <c r="Z49" s="58"/>
      <c r="AA49" s="58"/>
      <c r="AB49" s="58"/>
      <c r="AC49" s="58"/>
    </row>
    <row r="50" spans="1:29" x14ac:dyDescent="0.3">
      <c r="A50" s="58"/>
      <c r="B50" s="58"/>
      <c r="K50" s="58"/>
      <c r="L50" s="15"/>
      <c r="M50" s="99"/>
      <c r="N50" s="99"/>
      <c r="O50" s="99"/>
      <c r="P50" s="99"/>
      <c r="Q50" s="99"/>
      <c r="R50" s="99"/>
      <c r="S50" s="99"/>
      <c r="T50" s="99"/>
      <c r="U50" s="61"/>
      <c r="V50" s="58"/>
      <c r="W50" s="58"/>
      <c r="X50" s="58"/>
      <c r="Y50" s="58"/>
      <c r="Z50" s="58"/>
      <c r="AA50" s="58"/>
      <c r="AB50" s="58"/>
      <c r="AC50" s="58"/>
    </row>
    <row r="51" spans="1:29" x14ac:dyDescent="0.3">
      <c r="A51" s="58"/>
      <c r="B51" s="58"/>
      <c r="K51" s="58"/>
      <c r="L51" s="15"/>
      <c r="M51" s="99"/>
      <c r="N51" s="99"/>
      <c r="O51" s="99"/>
      <c r="P51" s="99"/>
      <c r="Q51" s="99"/>
      <c r="R51" s="99"/>
      <c r="S51" s="99"/>
      <c r="T51" s="99"/>
      <c r="U51" s="60"/>
      <c r="V51" s="58"/>
      <c r="W51" s="58"/>
      <c r="X51" s="58"/>
      <c r="Y51" s="58"/>
      <c r="Z51" s="58"/>
      <c r="AA51" s="58"/>
      <c r="AB51" s="58"/>
      <c r="AC51" s="58"/>
    </row>
    <row r="52" spans="1:29" x14ac:dyDescent="0.3">
      <c r="A52" s="58"/>
      <c r="B52" s="58"/>
      <c r="K52" s="58"/>
      <c r="L52" s="15"/>
      <c r="M52" s="99"/>
      <c r="N52" s="99"/>
      <c r="O52" s="99"/>
      <c r="P52" s="99"/>
      <c r="Q52" s="99"/>
      <c r="R52" s="99"/>
      <c r="S52" s="99"/>
      <c r="T52" s="99"/>
      <c r="U52" s="61"/>
      <c r="V52" s="58"/>
      <c r="W52" s="58"/>
      <c r="X52" s="58"/>
      <c r="Y52" s="58"/>
      <c r="Z52" s="58"/>
      <c r="AA52" s="58"/>
      <c r="AB52" s="58"/>
      <c r="AC52" s="58"/>
    </row>
    <row r="53" spans="1:29" x14ac:dyDescent="0.3">
      <c r="A53" s="58"/>
      <c r="B53" s="58"/>
      <c r="K53" s="58"/>
      <c r="L53" s="15"/>
      <c r="M53" s="99"/>
      <c r="N53" s="99"/>
      <c r="O53" s="99"/>
      <c r="P53" s="99"/>
      <c r="Q53" s="99"/>
      <c r="R53" s="99"/>
      <c r="S53" s="99"/>
      <c r="T53" s="99"/>
      <c r="U53" s="60"/>
      <c r="V53" s="58"/>
      <c r="W53" s="58"/>
      <c r="X53" s="58"/>
      <c r="Y53" s="58"/>
      <c r="Z53" s="58"/>
      <c r="AA53" s="58"/>
      <c r="AB53" s="58"/>
      <c r="AC53" s="58"/>
    </row>
    <row r="54" spans="1:29" x14ac:dyDescent="0.3">
      <c r="A54" s="58"/>
      <c r="B54" s="58"/>
      <c r="K54" s="58"/>
      <c r="L54" s="15"/>
      <c r="M54" s="99"/>
      <c r="N54" s="99"/>
      <c r="O54" s="99"/>
      <c r="P54" s="99"/>
      <c r="Q54" s="99"/>
      <c r="R54" s="99"/>
      <c r="S54" s="99"/>
      <c r="T54" s="99"/>
      <c r="U54" s="61"/>
      <c r="V54" s="58"/>
      <c r="W54" s="58"/>
      <c r="X54" s="58"/>
      <c r="Y54" s="58"/>
      <c r="Z54" s="58"/>
      <c r="AA54" s="58"/>
      <c r="AB54" s="58"/>
      <c r="AC54" s="58"/>
    </row>
    <row r="55" spans="1:29" x14ac:dyDescent="0.3">
      <c r="A55" s="58"/>
      <c r="B55" s="58"/>
      <c r="K55" s="58"/>
      <c r="L55" s="15"/>
      <c r="M55" s="62"/>
      <c r="N55" s="62"/>
      <c r="O55" s="62"/>
      <c r="P55" s="62"/>
      <c r="Q55" s="62"/>
      <c r="R55" s="13"/>
      <c r="S55" s="62"/>
      <c r="T55" s="13"/>
      <c r="U55" s="13"/>
      <c r="V55" s="58"/>
      <c r="W55" s="58"/>
      <c r="X55" s="58"/>
      <c r="Y55" s="58"/>
      <c r="Z55" s="58"/>
      <c r="AA55" s="58"/>
      <c r="AB55" s="58"/>
      <c r="AC55" s="58"/>
    </row>
    <row r="56" spans="1:29" x14ac:dyDescent="0.3">
      <c r="A56" s="58"/>
      <c r="B56" s="58"/>
      <c r="K56" s="58"/>
      <c r="L56" s="15"/>
      <c r="M56" s="99"/>
      <c r="N56" s="99"/>
      <c r="O56" s="99"/>
      <c r="P56" s="99"/>
      <c r="Q56" s="99"/>
      <c r="R56" s="99"/>
      <c r="S56" s="99"/>
      <c r="T56" s="99"/>
      <c r="U56" s="61"/>
      <c r="V56" s="58"/>
      <c r="W56" s="58"/>
      <c r="X56" s="58"/>
      <c r="Y56" s="58"/>
      <c r="Z56" s="58"/>
      <c r="AA56" s="58"/>
      <c r="AB56" s="58"/>
      <c r="AC56" s="58"/>
    </row>
    <row r="57" spans="1:29" x14ac:dyDescent="0.3">
      <c r="A57" s="58"/>
      <c r="B57" s="58"/>
      <c r="K57" s="58"/>
      <c r="L57" s="15"/>
      <c r="M57" s="62"/>
      <c r="N57" s="62"/>
      <c r="O57" s="62"/>
      <c r="P57" s="62"/>
      <c r="Q57" s="62"/>
      <c r="R57" s="13"/>
      <c r="S57" s="62"/>
      <c r="T57" s="13"/>
      <c r="U57" s="13"/>
      <c r="V57" s="58"/>
      <c r="W57" s="58"/>
      <c r="X57" s="58"/>
      <c r="Y57" s="58"/>
      <c r="Z57" s="58"/>
      <c r="AA57" s="58"/>
      <c r="AB57" s="58"/>
      <c r="AC57" s="58"/>
    </row>
    <row r="58" spans="1:29" x14ac:dyDescent="0.3">
      <c r="A58" s="58"/>
      <c r="B58" s="58"/>
      <c r="K58" s="58"/>
      <c r="L58" s="15"/>
      <c r="M58" s="62"/>
      <c r="N58" s="62"/>
      <c r="O58" s="100"/>
      <c r="P58" s="62"/>
      <c r="Q58" s="62"/>
      <c r="R58" s="13"/>
      <c r="S58" s="62"/>
      <c r="T58" s="13"/>
      <c r="U58" s="13"/>
      <c r="V58" s="58"/>
      <c r="W58" s="58"/>
      <c r="X58" s="58"/>
      <c r="Y58" s="58"/>
      <c r="Z58" s="58"/>
      <c r="AA58" s="58"/>
      <c r="AB58" s="58"/>
      <c r="AC58" s="58"/>
    </row>
    <row r="59" spans="1:29" x14ac:dyDescent="0.3">
      <c r="A59" s="58"/>
      <c r="B59" s="58"/>
      <c r="K59" s="58"/>
      <c r="L59" s="15"/>
      <c r="M59" s="62"/>
      <c r="N59" s="62"/>
      <c r="O59" s="100"/>
      <c r="P59" s="99"/>
      <c r="Q59" s="99"/>
      <c r="R59" s="99"/>
      <c r="S59" s="99"/>
      <c r="T59" s="99"/>
      <c r="U59" s="61"/>
      <c r="V59" s="58"/>
      <c r="W59" s="58"/>
      <c r="X59" s="58"/>
      <c r="Y59" s="58"/>
      <c r="Z59" s="58"/>
      <c r="AA59" s="58"/>
      <c r="AB59" s="58"/>
      <c r="AC59" s="58"/>
    </row>
    <row r="60" spans="1:29" x14ac:dyDescent="0.3">
      <c r="A60" s="58"/>
      <c r="B60" s="58"/>
      <c r="K60" s="58"/>
      <c r="L60" s="15"/>
      <c r="M60" s="62"/>
      <c r="N60" s="62"/>
      <c r="O60" s="100"/>
      <c r="P60" s="62"/>
      <c r="Q60" s="62"/>
      <c r="R60" s="17"/>
      <c r="S60" s="62"/>
      <c r="T60" s="17"/>
      <c r="U60" s="13"/>
      <c r="V60" s="58"/>
      <c r="W60" s="58"/>
      <c r="X60" s="58"/>
      <c r="Y60" s="58"/>
      <c r="Z60" s="58"/>
      <c r="AA60" s="58"/>
      <c r="AB60" s="58"/>
      <c r="AC60" s="58"/>
    </row>
    <row r="61" spans="1:29" x14ac:dyDescent="0.3">
      <c r="A61" s="58"/>
      <c r="B61" s="58"/>
      <c r="K61" s="58"/>
      <c r="L61" s="99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</row>
    <row r="62" spans="1:29" x14ac:dyDescent="0.3">
      <c r="A62" s="58"/>
      <c r="B62" s="58"/>
      <c r="K62" s="58"/>
      <c r="L62" s="99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</row>
    <row r="63" spans="1:29" x14ac:dyDescent="0.3">
      <c r="A63" s="58"/>
      <c r="B63" s="58"/>
      <c r="K63" s="58"/>
      <c r="L63" s="99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</row>
    <row r="64" spans="1:29" x14ac:dyDescent="0.3">
      <c r="A64" s="58"/>
      <c r="B64" s="58"/>
      <c r="K64" s="58"/>
      <c r="L64" s="99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</row>
    <row r="65" spans="1:29" x14ac:dyDescent="0.3">
      <c r="A65" s="58"/>
      <c r="B65" s="58"/>
      <c r="K65" s="58"/>
      <c r="L65" s="99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</row>
    <row r="66" spans="1:29" x14ac:dyDescent="0.3">
      <c r="A66" s="58"/>
      <c r="B66" s="58"/>
      <c r="K66" s="58"/>
      <c r="L66" s="99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</row>
    <row r="67" spans="1:29" x14ac:dyDescent="0.3">
      <c r="A67" s="58"/>
      <c r="B67" s="58"/>
      <c r="K67" s="58"/>
      <c r="L67" s="99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</row>
    <row r="68" spans="1:29" x14ac:dyDescent="0.3">
      <c r="A68" s="58"/>
      <c r="B68" s="58"/>
      <c r="K68" s="58"/>
      <c r="L68" s="99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</row>
    <row r="69" spans="1:29" ht="15" x14ac:dyDescent="0.3">
      <c r="A69" s="58"/>
      <c r="B69" s="58"/>
      <c r="E69" s="101"/>
      <c r="F69" s="102"/>
      <c r="G69" s="102"/>
      <c r="H69" s="102"/>
      <c r="I69" s="102"/>
      <c r="J69" s="98"/>
      <c r="K69" s="102"/>
      <c r="L69" s="102"/>
      <c r="M69" s="103"/>
      <c r="N69" s="103"/>
      <c r="O69" s="98"/>
      <c r="P69" s="9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</row>
    <row r="70" spans="1:29" ht="15" x14ac:dyDescent="0.3">
      <c r="A70" s="58"/>
      <c r="B70" s="58"/>
      <c r="E70" s="101"/>
      <c r="F70" s="102"/>
      <c r="G70" s="102"/>
      <c r="H70" s="102"/>
      <c r="I70" s="102"/>
      <c r="J70" s="98"/>
      <c r="K70" s="102"/>
      <c r="L70" s="102"/>
      <c r="M70" s="103"/>
      <c r="N70" s="103"/>
      <c r="O70" s="98"/>
      <c r="P70" s="9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</row>
    <row r="71" spans="1:29" ht="15" x14ac:dyDescent="0.3">
      <c r="A71" s="58"/>
      <c r="B71" s="58"/>
      <c r="E71" s="101"/>
      <c r="F71" s="102"/>
      <c r="G71" s="102"/>
      <c r="H71" s="102"/>
      <c r="I71" s="102"/>
      <c r="J71" s="98"/>
      <c r="K71" s="102"/>
      <c r="L71" s="102"/>
      <c r="M71" s="103"/>
      <c r="N71" s="103"/>
      <c r="O71" s="98"/>
      <c r="P71" s="9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</row>
  </sheetData>
  <mergeCells count="36">
    <mergeCell ref="H36:H39"/>
    <mergeCell ref="H40:H41"/>
    <mergeCell ref="I42:K42"/>
    <mergeCell ref="I43:K43"/>
    <mergeCell ref="I45:K45"/>
    <mergeCell ref="W43:Y43"/>
    <mergeCell ref="I44:K44"/>
    <mergeCell ref="W44:Y44"/>
    <mergeCell ref="W45:Y45"/>
    <mergeCell ref="I46:K46"/>
    <mergeCell ref="W46:Y46"/>
    <mergeCell ref="I47:K47"/>
    <mergeCell ref="W47:Y47"/>
    <mergeCell ref="G5:G35"/>
    <mergeCell ref="H6:H10"/>
    <mergeCell ref="H11:H15"/>
    <mergeCell ref="H16:H20"/>
    <mergeCell ref="H21:H24"/>
    <mergeCell ref="H25:H32"/>
    <mergeCell ref="H33:H35"/>
    <mergeCell ref="I1:U1"/>
    <mergeCell ref="M2:Z2"/>
    <mergeCell ref="M3:N3"/>
    <mergeCell ref="O3:P3"/>
    <mergeCell ref="Q3:R3"/>
    <mergeCell ref="S3:T3"/>
    <mergeCell ref="U3:V3"/>
    <mergeCell ref="W3:X3"/>
    <mergeCell ref="Y3:Z3"/>
    <mergeCell ref="W4:X4"/>
    <mergeCell ref="Y4:Z4"/>
    <mergeCell ref="M4:N4"/>
    <mergeCell ref="O4:P4"/>
    <mergeCell ref="Q4:R4"/>
    <mergeCell ref="S4:T4"/>
    <mergeCell ref="U4:V4"/>
  </mergeCells>
  <conditionalFormatting sqref="M43:V47">
    <cfRule type="containsText" dxfId="43" priority="1" operator="containsText" text="Comp">
      <formula>NOT(ISERROR(SEARCH("Comp",M43)))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lha11"/>
  <dimension ref="A2:AA44"/>
  <sheetViews>
    <sheetView tabSelected="1" zoomScale="58" workbookViewId="0">
      <selection activeCell="H23" sqref="H23"/>
    </sheetView>
  </sheetViews>
  <sheetFormatPr defaultRowHeight="14.4" x14ac:dyDescent="0.3"/>
  <cols>
    <col min="2" max="2" width="20.6640625" customWidth="1"/>
    <col min="3" max="3" width="14.109375" customWidth="1"/>
    <col min="4" max="4" width="24.109375" customWidth="1"/>
    <col min="5" max="5" width="35.6640625" customWidth="1"/>
    <col min="6" max="6" width="39" customWidth="1"/>
    <col min="7" max="7" width="38.6640625" customWidth="1"/>
    <col min="8" max="9" width="35.6640625" customWidth="1"/>
    <col min="10" max="11" width="17.44140625" customWidth="1"/>
    <col min="12" max="13" width="14" customWidth="1"/>
    <col min="14" max="15" width="45.33203125" customWidth="1"/>
    <col min="16" max="18" width="35.6640625" customWidth="1"/>
    <col min="20" max="20" width="19.33203125" customWidth="1"/>
    <col min="21" max="21" width="18.33203125" customWidth="1"/>
    <col min="23" max="23" width="31.6640625" bestFit="1" customWidth="1"/>
    <col min="24" max="24" width="35.44140625" bestFit="1" customWidth="1"/>
    <col min="25" max="27" width="35.6640625" customWidth="1"/>
  </cols>
  <sheetData>
    <row r="2" spans="2:27" ht="40.5" customHeight="1" thickBot="1" x14ac:dyDescent="0.55000000000000004">
      <c r="B2" s="306" t="s">
        <v>95</v>
      </c>
      <c r="C2" s="306"/>
      <c r="D2" s="306"/>
      <c r="E2" s="306"/>
      <c r="F2" s="306"/>
      <c r="G2" s="306"/>
      <c r="H2" s="306"/>
      <c r="I2" s="306"/>
      <c r="K2" s="307" t="s">
        <v>96</v>
      </c>
      <c r="L2" s="306"/>
      <c r="M2" s="306"/>
      <c r="N2" s="306"/>
      <c r="O2" s="306"/>
      <c r="P2" s="306"/>
      <c r="Q2" s="306"/>
      <c r="R2" s="306"/>
      <c r="T2" s="308" t="s">
        <v>97</v>
      </c>
      <c r="U2" s="306"/>
      <c r="V2" s="306"/>
      <c r="W2" s="306"/>
      <c r="X2" s="306"/>
      <c r="Y2" s="306"/>
      <c r="Z2" s="306"/>
      <c r="AA2" s="306"/>
    </row>
    <row r="3" spans="2:27" ht="14.25" customHeight="1" thickTop="1" thickBot="1" x14ac:dyDescent="0.35">
      <c r="B3" s="309" t="s">
        <v>68</v>
      </c>
      <c r="C3" s="310"/>
      <c r="D3" s="155" t="s">
        <v>69</v>
      </c>
      <c r="E3" s="121" t="str">
        <f t="shared" ref="E3:I3" si="0">IFERROR(VLOOKUP(E4,$A$30:$E$44,2,FALSE), "")</f>
        <v/>
      </c>
      <c r="F3" s="121" t="str">
        <f t="shared" si="0"/>
        <v/>
      </c>
      <c r="G3" s="121" t="str">
        <f t="shared" si="0"/>
        <v/>
      </c>
      <c r="H3" s="121" t="str">
        <f t="shared" si="0"/>
        <v/>
      </c>
      <c r="I3" s="122" t="str">
        <f t="shared" si="0"/>
        <v/>
      </c>
      <c r="K3" s="313" t="s">
        <v>70</v>
      </c>
      <c r="L3" s="314" t="s">
        <v>69</v>
      </c>
      <c r="M3" s="120" t="s">
        <v>69</v>
      </c>
      <c r="N3" s="121" t="str">
        <f t="shared" ref="N3:R3" si="1">IFERROR(VLOOKUP(N4,$A$30:$E$44,2,FALSE), "")</f>
        <v/>
      </c>
      <c r="O3" s="121" t="str">
        <f t="shared" si="1"/>
        <v/>
      </c>
      <c r="P3" s="121" t="str">
        <f t="shared" si="1"/>
        <v/>
      </c>
      <c r="Q3" s="121" t="str">
        <f t="shared" si="1"/>
        <v/>
      </c>
      <c r="R3" s="122" t="str">
        <f t="shared" si="1"/>
        <v/>
      </c>
      <c r="T3" s="313" t="s">
        <v>71</v>
      </c>
      <c r="U3" s="314"/>
      <c r="V3" s="120" t="s">
        <v>69</v>
      </c>
      <c r="W3" s="121" t="str">
        <f t="shared" ref="W3:AA3" si="2">IFERROR(VLOOKUP(W4,$A$30:$E$44,2,FALSE), "")</f>
        <v/>
      </c>
      <c r="X3" s="121" t="str">
        <f t="shared" si="2"/>
        <v/>
      </c>
      <c r="Y3" s="121" t="str">
        <f t="shared" si="2"/>
        <v/>
      </c>
      <c r="Z3" s="121" t="str">
        <f t="shared" si="2"/>
        <v/>
      </c>
      <c r="AA3" s="122" t="str">
        <f t="shared" si="2"/>
        <v/>
      </c>
    </row>
    <row r="4" spans="2:27" ht="14.25" customHeight="1" thickBot="1" x14ac:dyDescent="0.35">
      <c r="B4" s="311"/>
      <c r="C4" s="312"/>
      <c r="D4" s="156" t="s">
        <v>72</v>
      </c>
      <c r="E4" s="124"/>
      <c r="F4" s="125"/>
      <c r="G4" s="126"/>
      <c r="H4" s="126"/>
      <c r="I4" s="127"/>
      <c r="J4" s="128"/>
      <c r="K4" s="315"/>
      <c r="L4" s="316" t="s">
        <v>72</v>
      </c>
      <c r="M4" s="123" t="s">
        <v>72</v>
      </c>
      <c r="N4" s="124" t="s">
        <v>98</v>
      </c>
      <c r="O4" s="126" t="s">
        <v>101</v>
      </c>
      <c r="P4" s="126" t="s">
        <v>100</v>
      </c>
      <c r="Q4" s="126" t="s">
        <v>99</v>
      </c>
      <c r="R4" s="129" t="s">
        <v>99</v>
      </c>
      <c r="T4" s="317"/>
      <c r="U4" s="316"/>
      <c r="V4" s="123" t="s">
        <v>72</v>
      </c>
      <c r="W4" s="124"/>
      <c r="X4" s="125"/>
      <c r="Y4" s="126"/>
      <c r="Z4" s="126"/>
      <c r="AA4" s="127"/>
    </row>
    <row r="5" spans="2:27" ht="30" customHeight="1" x14ac:dyDescent="0.3">
      <c r="B5" s="318" t="s">
        <v>73</v>
      </c>
      <c r="C5" s="304">
        <f>OCGR!M4</f>
        <v>46153</v>
      </c>
      <c r="D5" s="151" t="s">
        <v>74</v>
      </c>
      <c r="E5" s="152" t="s">
        <v>75</v>
      </c>
      <c r="F5" s="152" t="s">
        <v>75</v>
      </c>
      <c r="G5" s="152" t="s">
        <v>75</v>
      </c>
      <c r="H5" s="152" t="s">
        <v>75</v>
      </c>
      <c r="I5" s="153" t="s">
        <v>60</v>
      </c>
      <c r="J5" s="128"/>
      <c r="K5" s="318" t="s">
        <v>73</v>
      </c>
      <c r="L5" s="304">
        <f>C5</f>
        <v>46153</v>
      </c>
      <c r="M5" s="151" t="s">
        <v>74</v>
      </c>
      <c r="N5" s="152" t="s">
        <v>47</v>
      </c>
      <c r="O5" s="152" t="s">
        <v>75</v>
      </c>
      <c r="P5" s="152" t="s">
        <v>30</v>
      </c>
      <c r="Q5" s="152" t="s">
        <v>75</v>
      </c>
      <c r="R5" s="153" t="s">
        <v>33</v>
      </c>
      <c r="T5" s="318" t="s">
        <v>73</v>
      </c>
      <c r="U5" s="304">
        <f>C5</f>
        <v>46153</v>
      </c>
      <c r="V5" s="151" t="s">
        <v>74</v>
      </c>
      <c r="W5" s="152" t="s">
        <v>66</v>
      </c>
      <c r="X5" s="152" t="s">
        <v>75</v>
      </c>
      <c r="Y5" s="152" t="s">
        <v>75</v>
      </c>
      <c r="Z5" s="152" t="s">
        <v>64</v>
      </c>
      <c r="AA5" s="153" t="s">
        <v>94</v>
      </c>
    </row>
    <row r="6" spans="2:27" ht="30" customHeight="1" thickBot="1" x14ac:dyDescent="0.35">
      <c r="B6" s="319"/>
      <c r="C6" s="320"/>
      <c r="D6" s="147" t="s">
        <v>76</v>
      </c>
      <c r="E6" s="148" t="s">
        <v>75</v>
      </c>
      <c r="F6" s="148" t="s">
        <v>75</v>
      </c>
      <c r="G6" s="148" t="s">
        <v>75</v>
      </c>
      <c r="H6" s="148" t="s">
        <v>75</v>
      </c>
      <c r="I6" s="150" t="s">
        <v>60</v>
      </c>
      <c r="K6" s="319"/>
      <c r="L6" s="320"/>
      <c r="M6" s="147" t="s">
        <v>76</v>
      </c>
      <c r="N6" s="148" t="s">
        <v>47</v>
      </c>
      <c r="O6" s="148" t="s">
        <v>75</v>
      </c>
      <c r="P6" s="148" t="s">
        <v>30</v>
      </c>
      <c r="Q6" s="148" t="s">
        <v>75</v>
      </c>
      <c r="R6" s="150" t="s">
        <v>33</v>
      </c>
      <c r="T6" s="319"/>
      <c r="U6" s="305"/>
      <c r="V6" s="147" t="s">
        <v>76</v>
      </c>
      <c r="W6" s="148" t="s">
        <v>66</v>
      </c>
      <c r="X6" s="148" t="s">
        <v>75</v>
      </c>
      <c r="Y6" s="148" t="s">
        <v>75</v>
      </c>
      <c r="Z6" s="148" t="s">
        <v>41</v>
      </c>
      <c r="AA6" s="150" t="s">
        <v>41</v>
      </c>
    </row>
    <row r="7" spans="2:27" ht="30" customHeight="1" x14ac:dyDescent="0.3">
      <c r="B7" s="321" t="s">
        <v>77</v>
      </c>
      <c r="C7" s="304">
        <f>C5+1</f>
        <v>46154</v>
      </c>
      <c r="D7" s="151" t="s">
        <v>74</v>
      </c>
      <c r="E7" s="152" t="s">
        <v>75</v>
      </c>
      <c r="F7" s="152" t="s">
        <v>75</v>
      </c>
      <c r="G7" s="152" t="s">
        <v>75</v>
      </c>
      <c r="H7" s="152" t="s">
        <v>75</v>
      </c>
      <c r="I7" s="153" t="s">
        <v>75</v>
      </c>
      <c r="K7" s="321" t="s">
        <v>77</v>
      </c>
      <c r="L7" s="323">
        <f>L5+1</f>
        <v>46154</v>
      </c>
      <c r="M7" s="151" t="s">
        <v>74</v>
      </c>
      <c r="N7" s="152" t="s">
        <v>75</v>
      </c>
      <c r="O7" s="152" t="s">
        <v>41</v>
      </c>
      <c r="P7" s="152" t="s">
        <v>75</v>
      </c>
      <c r="Q7" s="152" t="s">
        <v>75</v>
      </c>
      <c r="R7" s="153" t="s">
        <v>75</v>
      </c>
      <c r="T7" s="321" t="s">
        <v>77</v>
      </c>
      <c r="U7" s="323">
        <f>U5+1</f>
        <v>46154</v>
      </c>
      <c r="V7" s="151" t="s">
        <v>74</v>
      </c>
      <c r="W7" s="152" t="s">
        <v>75</v>
      </c>
      <c r="X7" s="152" t="s">
        <v>75</v>
      </c>
      <c r="Y7" s="152" t="s">
        <v>75</v>
      </c>
      <c r="Z7" s="152" t="s">
        <v>75</v>
      </c>
      <c r="AA7" s="153" t="s">
        <v>75</v>
      </c>
    </row>
    <row r="8" spans="2:27" ht="30" customHeight="1" thickBot="1" x14ac:dyDescent="0.35">
      <c r="B8" s="322"/>
      <c r="C8" s="320"/>
      <c r="D8" s="147" t="s">
        <v>76</v>
      </c>
      <c r="E8" s="148" t="s">
        <v>75</v>
      </c>
      <c r="F8" s="148" t="s">
        <v>75</v>
      </c>
      <c r="G8" s="148" t="s">
        <v>75</v>
      </c>
      <c r="H8" s="148" t="s">
        <v>75</v>
      </c>
      <c r="I8" s="150" t="s">
        <v>75</v>
      </c>
      <c r="K8" s="322"/>
      <c r="L8" s="324"/>
      <c r="M8" s="147" t="s">
        <v>76</v>
      </c>
      <c r="N8" s="148" t="s">
        <v>29</v>
      </c>
      <c r="O8" s="148" t="s">
        <v>41</v>
      </c>
      <c r="P8" s="148" t="s">
        <v>75</v>
      </c>
      <c r="Q8" s="148" t="s">
        <v>75</v>
      </c>
      <c r="R8" s="150" t="s">
        <v>75</v>
      </c>
      <c r="T8" s="322"/>
      <c r="U8" s="325"/>
      <c r="V8" s="147" t="s">
        <v>76</v>
      </c>
      <c r="W8" s="148" t="s">
        <v>75</v>
      </c>
      <c r="X8" s="148" t="s">
        <v>75</v>
      </c>
      <c r="Y8" s="148" t="s">
        <v>75</v>
      </c>
      <c r="Z8" s="148" t="s">
        <v>75</v>
      </c>
      <c r="AA8" s="150" t="s">
        <v>75</v>
      </c>
    </row>
    <row r="9" spans="2:27" ht="30" customHeight="1" x14ac:dyDescent="0.3">
      <c r="B9" s="318" t="s">
        <v>78</v>
      </c>
      <c r="C9" s="304">
        <f>C7+1</f>
        <v>46155</v>
      </c>
      <c r="D9" s="151" t="s">
        <v>74</v>
      </c>
      <c r="E9" s="152" t="s">
        <v>75</v>
      </c>
      <c r="F9" s="152" t="s">
        <v>75</v>
      </c>
      <c r="G9" s="152" t="s">
        <v>75</v>
      </c>
      <c r="H9" s="152" t="s">
        <v>75</v>
      </c>
      <c r="I9" s="153" t="s">
        <v>75</v>
      </c>
      <c r="K9" s="318" t="s">
        <v>78</v>
      </c>
      <c r="L9" s="304">
        <f>L7+1</f>
        <v>46155</v>
      </c>
      <c r="M9" s="151" t="s">
        <v>74</v>
      </c>
      <c r="N9" s="152" t="s">
        <v>75</v>
      </c>
      <c r="O9" s="152" t="s">
        <v>75</v>
      </c>
      <c r="P9" s="152" t="s">
        <v>75</v>
      </c>
      <c r="Q9" s="152" t="s">
        <v>75</v>
      </c>
      <c r="R9" s="153" t="s">
        <v>75</v>
      </c>
      <c r="T9" s="318" t="s">
        <v>78</v>
      </c>
      <c r="U9" s="304">
        <f t="shared" ref="U9" si="3">U7+1</f>
        <v>46155</v>
      </c>
      <c r="V9" s="151" t="s">
        <v>74</v>
      </c>
      <c r="W9" s="152" t="s">
        <v>75</v>
      </c>
      <c r="X9" s="152" t="s">
        <v>75</v>
      </c>
      <c r="Y9" s="152" t="s">
        <v>75</v>
      </c>
      <c r="Z9" s="152" t="s">
        <v>75</v>
      </c>
      <c r="AA9" s="153" t="s">
        <v>75</v>
      </c>
    </row>
    <row r="10" spans="2:27" ht="30" customHeight="1" thickBot="1" x14ac:dyDescent="0.35">
      <c r="B10" s="319"/>
      <c r="C10" s="320"/>
      <c r="D10" s="147" t="s">
        <v>76</v>
      </c>
      <c r="E10" s="148" t="s">
        <v>75</v>
      </c>
      <c r="F10" s="148" t="s">
        <v>75</v>
      </c>
      <c r="G10" s="148" t="s">
        <v>75</v>
      </c>
      <c r="H10" s="148" t="s">
        <v>75</v>
      </c>
      <c r="I10" s="150" t="s">
        <v>75</v>
      </c>
      <c r="K10" s="319"/>
      <c r="L10" s="320"/>
      <c r="M10" s="147" t="s">
        <v>76</v>
      </c>
      <c r="N10" s="148" t="s">
        <v>26</v>
      </c>
      <c r="O10" s="148" t="s">
        <v>27</v>
      </c>
      <c r="P10" s="148" t="s">
        <v>27</v>
      </c>
      <c r="Q10" s="148" t="s">
        <v>75</v>
      </c>
      <c r="R10" s="150" t="s">
        <v>26</v>
      </c>
      <c r="T10" s="319"/>
      <c r="U10" s="305"/>
      <c r="V10" s="147" t="s">
        <v>76</v>
      </c>
      <c r="W10" s="148" t="s">
        <v>61</v>
      </c>
      <c r="X10" s="148" t="s">
        <v>62</v>
      </c>
      <c r="Y10" s="148" t="s">
        <v>61</v>
      </c>
      <c r="Z10" s="148" t="s">
        <v>62</v>
      </c>
      <c r="AA10" s="150" t="s">
        <v>75</v>
      </c>
    </row>
    <row r="11" spans="2:27" ht="30" customHeight="1" x14ac:dyDescent="0.3">
      <c r="B11" s="321" t="s">
        <v>79</v>
      </c>
      <c r="C11" s="304">
        <f>C9+1</f>
        <v>46156</v>
      </c>
      <c r="D11" s="151" t="s">
        <v>74</v>
      </c>
      <c r="E11" s="152" t="s">
        <v>75</v>
      </c>
      <c r="F11" s="152" t="s">
        <v>75</v>
      </c>
      <c r="G11" s="152" t="s">
        <v>75</v>
      </c>
      <c r="H11" s="152" t="s">
        <v>75</v>
      </c>
      <c r="I11" s="153" t="s">
        <v>75</v>
      </c>
      <c r="K11" s="321" t="s">
        <v>79</v>
      </c>
      <c r="L11" s="323">
        <f>L9+1</f>
        <v>46156</v>
      </c>
      <c r="M11" s="151" t="s">
        <v>74</v>
      </c>
      <c r="N11" s="152" t="s">
        <v>75</v>
      </c>
      <c r="O11" s="152" t="s">
        <v>75</v>
      </c>
      <c r="P11" s="152" t="s">
        <v>30</v>
      </c>
      <c r="Q11" s="152" t="s">
        <v>75</v>
      </c>
      <c r="R11" s="153" t="s">
        <v>75</v>
      </c>
      <c r="T11" s="321" t="s">
        <v>79</v>
      </c>
      <c r="U11" s="323">
        <f t="shared" ref="U11" si="4">U9+1</f>
        <v>46156</v>
      </c>
      <c r="V11" s="151" t="s">
        <v>74</v>
      </c>
      <c r="W11" s="152" t="s">
        <v>75</v>
      </c>
      <c r="X11" s="152" t="s">
        <v>75</v>
      </c>
      <c r="Y11" s="152" t="s">
        <v>75</v>
      </c>
      <c r="Z11" s="152" t="s">
        <v>64</v>
      </c>
      <c r="AA11" s="153" t="s">
        <v>63</v>
      </c>
    </row>
    <row r="12" spans="2:27" ht="30" customHeight="1" thickBot="1" x14ac:dyDescent="0.35">
      <c r="B12" s="322"/>
      <c r="C12" s="320"/>
      <c r="D12" s="147" t="s">
        <v>76</v>
      </c>
      <c r="E12" s="148" t="s">
        <v>75</v>
      </c>
      <c r="F12" s="148" t="s">
        <v>75</v>
      </c>
      <c r="G12" s="148" t="s">
        <v>75</v>
      </c>
      <c r="H12" s="148" t="s">
        <v>75</v>
      </c>
      <c r="I12" s="150" t="s">
        <v>75</v>
      </c>
      <c r="J12" s="128"/>
      <c r="K12" s="322"/>
      <c r="L12" s="324"/>
      <c r="M12" s="147" t="s">
        <v>76</v>
      </c>
      <c r="N12" s="148" t="s">
        <v>75</v>
      </c>
      <c r="O12" s="148" t="s">
        <v>75</v>
      </c>
      <c r="P12" s="148" t="s">
        <v>30</v>
      </c>
      <c r="Q12" s="148" t="s">
        <v>75</v>
      </c>
      <c r="R12" s="150" t="s">
        <v>75</v>
      </c>
      <c r="T12" s="322"/>
      <c r="U12" s="325"/>
      <c r="V12" s="147" t="s">
        <v>76</v>
      </c>
      <c r="W12" s="148" t="s">
        <v>75</v>
      </c>
      <c r="X12" s="148" t="s">
        <v>75</v>
      </c>
      <c r="Y12" s="148" t="s">
        <v>75</v>
      </c>
      <c r="Z12" s="148" t="s">
        <v>75</v>
      </c>
      <c r="AA12" s="150" t="s">
        <v>75</v>
      </c>
    </row>
    <row r="13" spans="2:27" ht="30" customHeight="1" x14ac:dyDescent="0.3">
      <c r="B13" s="318" t="s">
        <v>80</v>
      </c>
      <c r="C13" s="304">
        <f>C11+1</f>
        <v>46157</v>
      </c>
      <c r="D13" s="151" t="s">
        <v>74</v>
      </c>
      <c r="E13" s="152" t="s">
        <v>75</v>
      </c>
      <c r="F13" s="162" t="s">
        <v>75</v>
      </c>
      <c r="G13" s="162" t="s">
        <v>75</v>
      </c>
      <c r="H13" s="162" t="s">
        <v>75</v>
      </c>
      <c r="I13" s="255" t="s">
        <v>75</v>
      </c>
      <c r="J13" s="154"/>
      <c r="K13" s="318" t="s">
        <v>80</v>
      </c>
      <c r="L13" s="304">
        <f>L11+1</f>
        <v>46157</v>
      </c>
      <c r="M13" s="151" t="s">
        <v>74</v>
      </c>
      <c r="N13" s="152" t="s">
        <v>75</v>
      </c>
      <c r="O13" s="152" t="s">
        <v>75</v>
      </c>
      <c r="P13" s="152" t="s">
        <v>75</v>
      </c>
      <c r="Q13" s="152" t="s">
        <v>75</v>
      </c>
      <c r="R13" s="153" t="s">
        <v>75</v>
      </c>
      <c r="T13" s="318" t="s">
        <v>80</v>
      </c>
      <c r="U13" s="304">
        <f t="shared" ref="U13" si="5">U11+1</f>
        <v>46157</v>
      </c>
      <c r="V13" s="151" t="s">
        <v>74</v>
      </c>
      <c r="W13" s="152" t="s">
        <v>75</v>
      </c>
      <c r="X13" s="152" t="s">
        <v>75</v>
      </c>
      <c r="Y13" s="152" t="s">
        <v>75</v>
      </c>
      <c r="Z13" s="152" t="s">
        <v>75</v>
      </c>
      <c r="AA13" s="153" t="s">
        <v>75</v>
      </c>
    </row>
    <row r="14" spans="2:27" ht="30" customHeight="1" thickBot="1" x14ac:dyDescent="0.35">
      <c r="B14" s="319"/>
      <c r="C14" s="320"/>
      <c r="D14" s="147" t="s">
        <v>76</v>
      </c>
      <c r="E14" s="148" t="s">
        <v>75</v>
      </c>
      <c r="F14" s="163" t="s">
        <v>75</v>
      </c>
      <c r="G14" s="163" t="s">
        <v>75</v>
      </c>
      <c r="H14" s="163" t="s">
        <v>75</v>
      </c>
      <c r="I14" s="256" t="s">
        <v>75</v>
      </c>
      <c r="J14" s="257"/>
      <c r="K14" s="319"/>
      <c r="L14" s="320"/>
      <c r="M14" s="147" t="s">
        <v>76</v>
      </c>
      <c r="N14" s="148" t="s">
        <v>75</v>
      </c>
      <c r="O14" s="148" t="s">
        <v>75</v>
      </c>
      <c r="P14" s="148" t="s">
        <v>75</v>
      </c>
      <c r="Q14" s="148" t="s">
        <v>75</v>
      </c>
      <c r="R14" s="150" t="s">
        <v>75</v>
      </c>
      <c r="T14" s="319"/>
      <c r="U14" s="305"/>
      <c r="V14" s="147" t="s">
        <v>76</v>
      </c>
      <c r="W14" s="148" t="s">
        <v>75</v>
      </c>
      <c r="X14" s="148" t="s">
        <v>75</v>
      </c>
      <c r="Y14" s="148" t="s">
        <v>75</v>
      </c>
      <c r="Z14" s="148" t="s">
        <v>75</v>
      </c>
      <c r="AA14" s="150" t="s">
        <v>75</v>
      </c>
    </row>
    <row r="15" spans="2:27" ht="30" customHeight="1" x14ac:dyDescent="0.3">
      <c r="B15" s="321" t="s">
        <v>65</v>
      </c>
      <c r="C15" s="304">
        <f>C13+1</f>
        <v>46158</v>
      </c>
      <c r="D15" s="151" t="s">
        <v>74</v>
      </c>
      <c r="E15" s="152" t="s">
        <v>75</v>
      </c>
      <c r="F15" s="162" t="s">
        <v>75</v>
      </c>
      <c r="G15" s="162" t="s">
        <v>75</v>
      </c>
      <c r="H15" s="162" t="s">
        <v>75</v>
      </c>
      <c r="I15" s="255" t="s">
        <v>75</v>
      </c>
      <c r="J15" s="257"/>
      <c r="K15" s="321" t="s">
        <v>65</v>
      </c>
      <c r="L15" s="323">
        <f>L13+1</f>
        <v>46158</v>
      </c>
      <c r="M15" s="151" t="s">
        <v>74</v>
      </c>
      <c r="N15" s="152" t="s">
        <v>75</v>
      </c>
      <c r="O15" s="152" t="s">
        <v>75</v>
      </c>
      <c r="P15" s="152" t="s">
        <v>39</v>
      </c>
      <c r="Q15" s="152" t="s">
        <v>75</v>
      </c>
      <c r="R15" s="153" t="s">
        <v>75</v>
      </c>
      <c r="T15" s="321" t="s">
        <v>65</v>
      </c>
      <c r="U15" s="323">
        <f t="shared" ref="U15" si="6">U13+1</f>
        <v>46158</v>
      </c>
      <c r="V15" s="151" t="s">
        <v>74</v>
      </c>
      <c r="W15" s="152" t="s">
        <v>75</v>
      </c>
      <c r="X15" s="162" t="s">
        <v>75</v>
      </c>
      <c r="Y15" s="152" t="s">
        <v>75</v>
      </c>
      <c r="Z15" s="152" t="s">
        <v>63</v>
      </c>
      <c r="AA15" s="153" t="s">
        <v>75</v>
      </c>
    </row>
    <row r="16" spans="2:27" ht="30" customHeight="1" thickBot="1" x14ac:dyDescent="0.35">
      <c r="B16" s="322"/>
      <c r="C16" s="320"/>
      <c r="D16" s="147" t="s">
        <v>76</v>
      </c>
      <c r="E16" s="148" t="s">
        <v>75</v>
      </c>
      <c r="F16" s="163" t="s">
        <v>75</v>
      </c>
      <c r="G16" s="258" t="s">
        <v>75</v>
      </c>
      <c r="H16" s="163" t="s">
        <v>75</v>
      </c>
      <c r="I16" s="256" t="s">
        <v>75</v>
      </c>
      <c r="J16" s="257"/>
      <c r="K16" s="322"/>
      <c r="L16" s="324"/>
      <c r="M16" s="147" t="s">
        <v>76</v>
      </c>
      <c r="N16" s="148" t="s">
        <v>75</v>
      </c>
      <c r="O16" s="148" t="s">
        <v>75</v>
      </c>
      <c r="P16" s="342" t="s">
        <v>75</v>
      </c>
      <c r="Q16" s="148" t="s">
        <v>75</v>
      </c>
      <c r="R16" s="150" t="s">
        <v>75</v>
      </c>
      <c r="T16" s="322"/>
      <c r="U16" s="325"/>
      <c r="V16" s="147" t="s">
        <v>76</v>
      </c>
      <c r="W16" s="163" t="s">
        <v>75</v>
      </c>
      <c r="X16" s="148" t="s">
        <v>75</v>
      </c>
      <c r="Y16" s="149" t="s">
        <v>75</v>
      </c>
      <c r="Z16" s="148" t="s">
        <v>64</v>
      </c>
      <c r="AA16" s="150" t="s">
        <v>75</v>
      </c>
    </row>
    <row r="17" spans="1:27" ht="30" customHeight="1" x14ac:dyDescent="0.3">
      <c r="B17" s="318" t="s">
        <v>81</v>
      </c>
      <c r="C17" s="304">
        <f>C15+1</f>
        <v>46159</v>
      </c>
      <c r="D17" s="151" t="s">
        <v>74</v>
      </c>
      <c r="E17" s="152"/>
      <c r="F17" s="162"/>
      <c r="G17" s="162"/>
      <c r="H17" s="162"/>
      <c r="I17" s="255"/>
      <c r="J17" s="257"/>
      <c r="K17" s="318" t="s">
        <v>81</v>
      </c>
      <c r="L17" s="304">
        <f>L15+1</f>
        <v>46159</v>
      </c>
      <c r="M17" s="151" t="s">
        <v>74</v>
      </c>
      <c r="N17" s="152"/>
      <c r="O17" s="152"/>
      <c r="P17" s="152"/>
      <c r="Q17" s="152"/>
      <c r="R17" s="153"/>
      <c r="T17" s="318" t="s">
        <v>81</v>
      </c>
      <c r="U17" s="304">
        <f t="shared" ref="U17" si="7">U15+1</f>
        <v>46159</v>
      </c>
      <c r="V17" s="151" t="s">
        <v>74</v>
      </c>
      <c r="W17" s="162"/>
      <c r="X17" s="152"/>
      <c r="Y17" s="152"/>
      <c r="Z17" s="152"/>
      <c r="AA17" s="153"/>
    </row>
    <row r="18" spans="1:27" ht="30" customHeight="1" thickBot="1" x14ac:dyDescent="0.35">
      <c r="B18" s="326"/>
      <c r="C18" s="320"/>
      <c r="D18" s="145" t="s">
        <v>76</v>
      </c>
      <c r="E18" s="144"/>
      <c r="F18" s="144"/>
      <c r="G18" s="144"/>
      <c r="H18" s="144"/>
      <c r="I18" s="146"/>
      <c r="K18" s="326"/>
      <c r="L18" s="305"/>
      <c r="M18" s="145" t="s">
        <v>76</v>
      </c>
      <c r="N18" s="144"/>
      <c r="O18" s="144"/>
      <c r="P18" s="144"/>
      <c r="Q18" s="144"/>
      <c r="R18" s="146"/>
      <c r="T18" s="326"/>
      <c r="U18" s="305"/>
      <c r="V18" s="145" t="s">
        <v>76</v>
      </c>
      <c r="W18" s="144"/>
      <c r="X18" s="144"/>
      <c r="Y18" s="144"/>
      <c r="Z18" s="144"/>
      <c r="AA18" s="146"/>
    </row>
    <row r="19" spans="1:27" ht="15" thickTop="1" x14ac:dyDescent="0.3">
      <c r="B19" s="327"/>
      <c r="C19" s="328"/>
      <c r="D19" s="128"/>
    </row>
    <row r="20" spans="1:27" x14ac:dyDescent="0.3">
      <c r="B20" s="327"/>
      <c r="C20" s="328"/>
      <c r="D20" s="154"/>
    </row>
    <row r="21" spans="1:27" x14ac:dyDescent="0.3">
      <c r="B21" s="327"/>
      <c r="C21" s="328"/>
      <c r="D21" s="128"/>
    </row>
    <row r="22" spans="1:27" x14ac:dyDescent="0.3">
      <c r="B22" s="327"/>
      <c r="C22" s="328"/>
      <c r="D22" s="128"/>
    </row>
    <row r="23" spans="1:27" x14ac:dyDescent="0.3">
      <c r="B23" s="327"/>
      <c r="C23" s="328"/>
      <c r="D23" s="128"/>
    </row>
    <row r="24" spans="1:27" x14ac:dyDescent="0.3">
      <c r="B24" s="327"/>
      <c r="C24" s="328"/>
      <c r="D24" s="128"/>
    </row>
    <row r="27" spans="1:27" x14ac:dyDescent="0.3">
      <c r="F27" t="str">
        <f>IFERROR(VLOOKUP(F28,$A$30:$E$44,2,FALSE), "")</f>
        <v/>
      </c>
    </row>
    <row r="28" spans="1:27" ht="15" thickBot="1" x14ac:dyDescent="0.35"/>
    <row r="29" spans="1:27" ht="15" thickBot="1" x14ac:dyDescent="0.35">
      <c r="B29" s="130" t="s">
        <v>82</v>
      </c>
      <c r="C29" s="131" t="s">
        <v>69</v>
      </c>
      <c r="D29" s="131"/>
      <c r="E29" s="132" t="s">
        <v>83</v>
      </c>
      <c r="F29" s="128"/>
      <c r="G29" s="161">
        <v>1</v>
      </c>
      <c r="H29" s="158"/>
      <c r="Q29" s="19"/>
      <c r="R29" s="19"/>
    </row>
    <row r="30" spans="1:27" x14ac:dyDescent="0.3">
      <c r="A30" t="e">
        <f>E30</f>
        <v>#N/A</v>
      </c>
      <c r="B30" s="133" t="s">
        <v>84</v>
      </c>
      <c r="C30">
        <f>OCGR!B40</f>
        <v>0</v>
      </c>
      <c r="D30" s="128"/>
      <c r="E30" s="141" t="e">
        <f>VLOOKUP(C30,$G$29:$H$36,2,TRUE)</f>
        <v>#N/A</v>
      </c>
      <c r="F30" s="128"/>
      <c r="G30" s="157">
        <v>2</v>
      </c>
      <c r="H30" s="159"/>
      <c r="Q30" s="19"/>
      <c r="R30" s="19"/>
    </row>
    <row r="31" spans="1:27" ht="15" thickBot="1" x14ac:dyDescent="0.35">
      <c r="A31" t="e">
        <f t="shared" ref="A31:A44" si="8">E31</f>
        <v>#N/A</v>
      </c>
      <c r="B31" s="134" t="s">
        <v>85</v>
      </c>
      <c r="C31" s="135">
        <f>OCGR!B41</f>
        <v>0</v>
      </c>
      <c r="D31" s="136"/>
      <c r="E31" s="143" t="e">
        <f>VLOOKUP(C31,$G$29:$H$36,2,TRUE)</f>
        <v>#N/A</v>
      </c>
      <c r="F31" s="128"/>
      <c r="G31" s="157">
        <v>3</v>
      </c>
      <c r="H31" s="159"/>
      <c r="Q31" s="19"/>
      <c r="R31" s="19"/>
    </row>
    <row r="32" spans="1:27" x14ac:dyDescent="0.3">
      <c r="G32" s="157">
        <v>4</v>
      </c>
      <c r="H32" s="159"/>
    </row>
    <row r="33" spans="1:8" ht="15" thickBot="1" x14ac:dyDescent="0.35">
      <c r="G33" s="157">
        <v>5</v>
      </c>
      <c r="H33" s="159"/>
    </row>
    <row r="34" spans="1:8" ht="15" thickBot="1" x14ac:dyDescent="0.35">
      <c r="B34" s="137" t="s">
        <v>82</v>
      </c>
      <c r="C34" s="138" t="s">
        <v>69</v>
      </c>
      <c r="D34" s="138"/>
      <c r="E34" s="139" t="s">
        <v>83</v>
      </c>
      <c r="G34" s="157">
        <v>6</v>
      </c>
      <c r="H34" s="159"/>
    </row>
    <row r="35" spans="1:8" x14ac:dyDescent="0.3">
      <c r="A35" t="e">
        <f t="shared" si="8"/>
        <v>#REF!</v>
      </c>
      <c r="B35" s="140" t="s">
        <v>86</v>
      </c>
      <c r="C35" t="e">
        <f>OCGR!#REF!</f>
        <v>#REF!</v>
      </c>
      <c r="E35" s="141" t="e">
        <f>VLOOKUP(C35,$G$29:$H$36,2,TRUE)</f>
        <v>#REF!</v>
      </c>
      <c r="G35" s="157">
        <v>7</v>
      </c>
      <c r="H35" s="159"/>
    </row>
    <row r="36" spans="1:8" ht="15" thickBot="1" x14ac:dyDescent="0.35">
      <c r="A36" t="e">
        <f t="shared" si="8"/>
        <v>#N/A</v>
      </c>
      <c r="B36" s="142" t="s">
        <v>87</v>
      </c>
      <c r="C36" s="135">
        <f>OCGR!C41</f>
        <v>0</v>
      </c>
      <c r="D36" s="135"/>
      <c r="E36" s="143" t="e">
        <f>VLOOKUP(C36,$G$29:$H$36,2,TRUE)</f>
        <v>#N/A</v>
      </c>
      <c r="G36" s="157">
        <v>8</v>
      </c>
      <c r="H36" s="160"/>
    </row>
    <row r="37" spans="1:8" ht="15" thickBot="1" x14ac:dyDescent="0.35">
      <c r="G37" s="157">
        <v>10</v>
      </c>
      <c r="H37" s="160"/>
    </row>
    <row r="38" spans="1:8" ht="15" thickBot="1" x14ac:dyDescent="0.35">
      <c r="B38" s="137" t="s">
        <v>82</v>
      </c>
      <c r="C38" s="138" t="s">
        <v>69</v>
      </c>
      <c r="D38" s="138"/>
      <c r="E38" s="139" t="s">
        <v>83</v>
      </c>
      <c r="G38" s="157">
        <v>11</v>
      </c>
      <c r="H38" s="160"/>
    </row>
    <row r="39" spans="1:8" x14ac:dyDescent="0.3">
      <c r="A39" t="e">
        <f t="shared" si="8"/>
        <v>#REF!</v>
      </c>
      <c r="B39" s="133" t="s">
        <v>84</v>
      </c>
      <c r="C39">
        <v>11</v>
      </c>
      <c r="E39" s="141" t="e">
        <f>#REF!</f>
        <v>#REF!</v>
      </c>
      <c r="G39" s="157">
        <v>12</v>
      </c>
      <c r="H39" s="160"/>
    </row>
    <row r="40" spans="1:8" ht="15" thickBot="1" x14ac:dyDescent="0.35">
      <c r="A40" t="e">
        <f t="shared" si="8"/>
        <v>#REF!</v>
      </c>
      <c r="B40" s="134" t="s">
        <v>85</v>
      </c>
      <c r="C40" s="135">
        <v>14</v>
      </c>
      <c r="D40" s="135"/>
      <c r="E40" s="143" t="e">
        <f>#REF!</f>
        <v>#REF!</v>
      </c>
      <c r="G40" s="157">
        <v>13</v>
      </c>
      <c r="H40" s="160"/>
    </row>
    <row r="41" spans="1:8" ht="15" thickBot="1" x14ac:dyDescent="0.35">
      <c r="G41" s="157">
        <v>14</v>
      </c>
      <c r="H41" s="160"/>
    </row>
    <row r="42" spans="1:8" ht="15" thickBot="1" x14ac:dyDescent="0.35">
      <c r="B42" s="137" t="s">
        <v>82</v>
      </c>
      <c r="C42" s="138" t="s">
        <v>69</v>
      </c>
      <c r="D42" s="138"/>
      <c r="E42" s="139" t="s">
        <v>83</v>
      </c>
    </row>
    <row r="43" spans="1:8" x14ac:dyDescent="0.3">
      <c r="A43" t="e">
        <f t="shared" si="8"/>
        <v>#REF!</v>
      </c>
      <c r="B43" s="140" t="s">
        <v>86</v>
      </c>
      <c r="C43">
        <v>13</v>
      </c>
      <c r="E43" s="141" t="e">
        <f>#REF!</f>
        <v>#REF!</v>
      </c>
    </row>
    <row r="44" spans="1:8" ht="15" thickBot="1" x14ac:dyDescent="0.35">
      <c r="A44" t="e">
        <f t="shared" si="8"/>
        <v>#REF!</v>
      </c>
      <c r="B44" s="142" t="s">
        <v>87</v>
      </c>
      <c r="C44" s="135">
        <v>12</v>
      </c>
      <c r="D44" s="135"/>
      <c r="E44" s="143" t="e">
        <f>#REF!</f>
        <v>#REF!</v>
      </c>
    </row>
  </sheetData>
  <mergeCells count="54">
    <mergeCell ref="B19:B20"/>
    <mergeCell ref="C19:C20"/>
    <mergeCell ref="B21:B22"/>
    <mergeCell ref="C21:C22"/>
    <mergeCell ref="B23:B24"/>
    <mergeCell ref="C23:C24"/>
    <mergeCell ref="U17:U18"/>
    <mergeCell ref="B15:B16"/>
    <mergeCell ref="C15:C16"/>
    <mergeCell ref="K15:K16"/>
    <mergeCell ref="L15:L16"/>
    <mergeCell ref="T15:T16"/>
    <mergeCell ref="U15:U16"/>
    <mergeCell ref="B17:B18"/>
    <mergeCell ref="C17:C18"/>
    <mergeCell ref="K17:K18"/>
    <mergeCell ref="L17:L18"/>
    <mergeCell ref="T17:T18"/>
    <mergeCell ref="U13:U14"/>
    <mergeCell ref="B11:B12"/>
    <mergeCell ref="C11:C12"/>
    <mergeCell ref="K11:K12"/>
    <mergeCell ref="L11:L12"/>
    <mergeCell ref="T11:T12"/>
    <mergeCell ref="U11:U12"/>
    <mergeCell ref="B13:B14"/>
    <mergeCell ref="C13:C14"/>
    <mergeCell ref="K13:K14"/>
    <mergeCell ref="L13:L14"/>
    <mergeCell ref="T13:T14"/>
    <mergeCell ref="U9:U10"/>
    <mergeCell ref="B7:B8"/>
    <mergeCell ref="C7:C8"/>
    <mergeCell ref="K7:K8"/>
    <mergeCell ref="L7:L8"/>
    <mergeCell ref="T7:T8"/>
    <mergeCell ref="U7:U8"/>
    <mergeCell ref="B9:B10"/>
    <mergeCell ref="C9:C10"/>
    <mergeCell ref="K9:K10"/>
    <mergeCell ref="L9:L10"/>
    <mergeCell ref="T9:T10"/>
    <mergeCell ref="U5:U6"/>
    <mergeCell ref="B2:I2"/>
    <mergeCell ref="K2:R2"/>
    <mergeCell ref="T2:AA2"/>
    <mergeCell ref="B3:C4"/>
    <mergeCell ref="K3:L4"/>
    <mergeCell ref="T3:U4"/>
    <mergeCell ref="B5:B6"/>
    <mergeCell ref="C5:C6"/>
    <mergeCell ref="K5:K6"/>
    <mergeCell ref="L5:L6"/>
    <mergeCell ref="T5:T6"/>
  </mergeCells>
  <conditionalFormatting sqref="B5 B7 B9 B11 B13 B15 B17 B25:B27">
    <cfRule type="containsText" dxfId="42" priority="44" operator="containsText" text="v">
      <formula>NOT(ISERROR(SEARCH("v",B5)))</formula>
    </cfRule>
    <cfRule type="containsText" dxfId="41" priority="45" operator="containsText" text="l">
      <formula>NOT(ISERROR(SEARCH("l",B5)))</formula>
    </cfRule>
  </conditionalFormatting>
  <conditionalFormatting sqref="B25:B27 B5 B7 B9 B11 B13 B15 B1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ntainsText" dxfId="40" priority="42" operator="containsText" text="A definir">
      <formula>NOT(ISERROR(SEARCH("A definir",E7)))</formula>
    </cfRule>
  </conditionalFormatting>
  <conditionalFormatting sqref="E3:I3">
    <cfRule type="containsText" dxfId="39" priority="40" operator="containsText" text="v">
      <formula>NOT(ISERROR(SEARCH("v",E3)))</formula>
    </cfRule>
    <cfRule type="containsText" dxfId="38" priority="41" operator="containsText" text="l">
      <formula>NOT(ISERROR(SEARCH("l",E3)))</formula>
    </cfRule>
  </conditionalFormatting>
  <conditionalFormatting sqref="E5:I14">
    <cfRule type="containsText" dxfId="37" priority="39" operator="containsText" text="A definir">
      <formula>NOT(ISERROR(SEARCH("A definir",E5)))</formula>
    </cfRule>
  </conditionalFormatting>
  <conditionalFormatting sqref="E5:AA16">
    <cfRule type="containsText" dxfId="36" priority="38" operator="containsText" text="Férias">
      <formula>NOT(ISERROR(SEARCH("Férias",E5)))</formula>
    </cfRule>
  </conditionalFormatting>
  <conditionalFormatting sqref="F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I3 E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">
    <cfRule type="containsText" dxfId="35" priority="35" operator="containsText" text="A definir">
      <formula>NOT(ISERROR(SEARCH("A definir",H10)))</formula>
    </cfRule>
  </conditionalFormatting>
  <conditionalFormatting sqref="K5 K7 K9 K11 K13 K15 K17">
    <cfRule type="containsText" dxfId="34" priority="33" operator="containsText" text="v">
      <formula>NOT(ISERROR(SEARCH("v",K5)))</formula>
    </cfRule>
    <cfRule type="containsText" dxfId="33" priority="34" operator="containsText" text="l">
      <formula>NOT(ISERROR(SEARCH("l",K5)))</formula>
    </cfRule>
  </conditionalFormatting>
  <conditionalFormatting sqref="K5 K7 K9 K11 K13 K15 K1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ntainsText" dxfId="32" priority="31" operator="containsText" text="A definir">
      <formula>NOT(ISERROR(SEARCH("A definir",N7)))</formula>
    </cfRule>
  </conditionalFormatting>
  <conditionalFormatting sqref="N3:R3">
    <cfRule type="containsText" dxfId="31" priority="28" operator="containsText" text="v">
      <formula>NOT(ISERROR(SEARCH("v",N3)))</formula>
    </cfRule>
    <cfRule type="containsText" dxfId="30" priority="29" operator="containsText" text="l">
      <formula>NOT(ISERROR(SEARCH("l",N3)))</formula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:R14">
    <cfRule type="containsText" dxfId="29" priority="27" operator="containsText" text="A definir">
      <formula>NOT(ISERROR(SEARCH("A definir",N5)))</formula>
    </cfRule>
  </conditionalFormatting>
  <conditionalFormatting sqref="Q10">
    <cfRule type="containsText" dxfId="28" priority="26" operator="containsText" text="A definir">
      <formula>NOT(ISERROR(SEARCH("A definir",Q10)))</formula>
    </cfRule>
  </conditionalFormatting>
  <conditionalFormatting sqref="T5 T7 T9 T11 T13 T15 T17">
    <cfRule type="containsText" dxfId="27" priority="24" operator="containsText" text="v">
      <formula>NOT(ISERROR(SEARCH("v",T5)))</formula>
    </cfRule>
    <cfRule type="containsText" dxfId="26" priority="25" operator="containsText" text="l">
      <formula>NOT(ISERROR(SEARCH("l",T5)))</formula>
    </cfRule>
  </conditionalFormatting>
  <conditionalFormatting sqref="T5 T7 T9 T11 T13 T15 T1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AA3">
    <cfRule type="containsText" dxfId="25" priority="20" operator="containsText" text="v">
      <formula>NOT(ISERROR(SEARCH("v",W3)))</formula>
    </cfRule>
    <cfRule type="containsText" dxfId="24" priority="21" operator="containsText" text="l">
      <formula>NOT(ISERROR(SEARCH("l",W3)))</formula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5:AA14">
    <cfRule type="containsText" dxfId="23" priority="19" operator="containsText" text="definir">
      <formula>NOT(ISERROR(SEARCH("definir",W5)))</formula>
    </cfRule>
  </conditionalFormatting>
  <conditionalFormatting sqref="P8">
    <cfRule type="containsText" dxfId="22" priority="18" operator="containsText" text="A definir">
      <formula>NOT(ISERROR(SEARCH("A definir",P8)))</formula>
    </cfRule>
  </conditionalFormatting>
  <conditionalFormatting sqref="N7">
    <cfRule type="containsText" dxfId="21" priority="17" operator="containsText" text="A definir">
      <formula>NOT(ISERROR(SEARCH("A definir",N7)))</formula>
    </cfRule>
  </conditionalFormatting>
  <conditionalFormatting sqref="N7:R8">
    <cfRule type="containsText" dxfId="20" priority="16" operator="containsText" text="A definir">
      <formula>NOT(ISERROR(SEARCH("A definir",N7)))</formula>
    </cfRule>
  </conditionalFormatting>
  <conditionalFormatting sqref="E5:AA16">
    <cfRule type="containsText" dxfId="19" priority="15" operator="containsText" text="Compensando">
      <formula>NOT(ISERROR(SEARCH("Compensando",E5)))</formula>
    </cfRule>
  </conditionalFormatting>
  <conditionalFormatting sqref="W5:AA16">
    <cfRule type="cellIs" dxfId="18" priority="14" operator="equal">
      <formula>"Folga"</formula>
    </cfRule>
  </conditionalFormatting>
  <conditionalFormatting sqref="N4:R16">
    <cfRule type="containsText" dxfId="17" priority="13" operator="containsText" text="Folga">
      <formula>NOT(ISERROR(SEARCH("Folga",N4)))</formula>
    </cfRule>
  </conditionalFormatting>
  <conditionalFormatting sqref="E5:I18">
    <cfRule type="containsText" dxfId="16" priority="12" operator="containsText" text="Folga">
      <formula>NOT(ISERROR(SEARCH("Folga",E5)))</formula>
    </cfRule>
  </conditionalFormatting>
  <conditionalFormatting sqref="N7">
    <cfRule type="containsText" dxfId="15" priority="11" operator="containsText" text="A definir">
      <formula>NOT(ISERROR(SEARCH("A definir",N7)))</formula>
    </cfRule>
  </conditionalFormatting>
  <conditionalFormatting sqref="N5:R14">
    <cfRule type="containsText" dxfId="14" priority="10" operator="containsText" text="A definir">
      <formula>NOT(ISERROR(SEARCH("A definir",N5)))</formula>
    </cfRule>
  </conditionalFormatting>
  <conditionalFormatting sqref="Q10">
    <cfRule type="containsText" dxfId="13" priority="9" operator="containsText" text="A definir">
      <formula>NOT(ISERROR(SEARCH("A definir",Q10)))</formula>
    </cfRule>
  </conditionalFormatting>
  <conditionalFormatting sqref="N5:R18">
    <cfRule type="containsText" dxfId="12" priority="8" operator="containsText" text="Folga">
      <formula>NOT(ISERROR(SEARCH("Folga",N5)))</formula>
    </cfRule>
  </conditionalFormatting>
  <conditionalFormatting sqref="W7">
    <cfRule type="containsText" dxfId="11" priority="7" operator="containsText" text="A definir">
      <formula>NOT(ISERROR(SEARCH("A definir",W7)))</formula>
    </cfRule>
  </conditionalFormatting>
  <conditionalFormatting sqref="W5:AA14">
    <cfRule type="containsText" dxfId="10" priority="6" operator="containsText" text="A definir">
      <formula>NOT(ISERROR(SEARCH("A definir",W5)))</formula>
    </cfRule>
  </conditionalFormatting>
  <conditionalFormatting sqref="Z10">
    <cfRule type="containsText" dxfId="9" priority="5" operator="containsText" text="A definir">
      <formula>NOT(ISERROR(SEARCH("A definir",Z10)))</formula>
    </cfRule>
  </conditionalFormatting>
  <conditionalFormatting sqref="W5:AA18">
    <cfRule type="containsText" dxfId="8" priority="4" operator="containsText" text="Folga">
      <formula>NOT(ISERROR(SEARCH("Folga",W5)))</formula>
    </cfRule>
  </conditionalFormatting>
  <conditionalFormatting sqref="AA3">
    <cfRule type="containsText" dxfId="7" priority="1" operator="containsText" text="v">
      <formula>NOT(ISERROR(SEARCH("v",AA3)))</formula>
    </cfRule>
    <cfRule type="containsText" dxfId="6" priority="2" operator="containsText" text="l">
      <formula>NOT(ISERROR(SEARCH("l",AA3)))</formula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lha10"/>
  <dimension ref="A1:L46"/>
  <sheetViews>
    <sheetView topLeftCell="A2" workbookViewId="0">
      <selection sqref="A1:C1"/>
    </sheetView>
  </sheetViews>
  <sheetFormatPr defaultRowHeight="14.4" x14ac:dyDescent="0.3"/>
  <cols>
    <col min="1" max="1" width="1.33203125" customWidth="1"/>
    <col min="2" max="2" width="3.6640625" customWidth="1"/>
    <col min="3" max="4" width="15.6640625" customWidth="1"/>
    <col min="5" max="5" width="20" customWidth="1"/>
    <col min="6" max="6" width="16.109375" style="20" bestFit="1" customWidth="1"/>
    <col min="7" max="7" width="58" style="20" customWidth="1"/>
    <col min="8" max="8" width="4.44140625" style="27" customWidth="1"/>
  </cols>
  <sheetData>
    <row r="1" spans="1:12" ht="6" customHeight="1" thickBot="1" x14ac:dyDescent="0.35">
      <c r="A1" s="329"/>
      <c r="B1" s="329"/>
      <c r="C1" s="329"/>
      <c r="D1" s="28"/>
      <c r="E1" s="28"/>
      <c r="F1" s="28"/>
      <c r="G1" s="29"/>
      <c r="H1" s="330"/>
      <c r="I1" s="330"/>
      <c r="J1" s="23"/>
      <c r="K1" s="23"/>
      <c r="L1" s="23"/>
    </row>
    <row r="2" spans="1:12" ht="18.600000000000001" thickBot="1" x14ac:dyDescent="0.4">
      <c r="A2" s="329"/>
      <c r="B2" s="340"/>
      <c r="C2" s="338" t="s">
        <v>67</v>
      </c>
      <c r="D2" s="339"/>
      <c r="E2" s="31" t="s">
        <v>88</v>
      </c>
      <c r="F2" s="32">
        <f ca="1">TODAY() +1</f>
        <v>46153</v>
      </c>
      <c r="G2" s="33" t="str">
        <f ca="1">TEXT(F2,"dddd")</f>
        <v>segunda-feira</v>
      </c>
      <c r="H2" s="341"/>
      <c r="I2" s="330"/>
      <c r="J2" s="23"/>
      <c r="K2" s="23"/>
      <c r="L2" s="23"/>
    </row>
    <row r="3" spans="1:12" ht="6.75" customHeight="1" thickBot="1" x14ac:dyDescent="0.35">
      <c r="A3" s="329"/>
      <c r="B3" s="329"/>
      <c r="C3" s="329"/>
      <c r="D3" s="28"/>
      <c r="E3" s="28"/>
      <c r="F3" s="28"/>
      <c r="G3" s="29"/>
      <c r="H3" s="330"/>
      <c r="I3" s="330"/>
      <c r="J3" s="23"/>
      <c r="K3" s="23"/>
      <c r="L3" s="23"/>
    </row>
    <row r="4" spans="1:12" s="20" customFormat="1" ht="15" thickBot="1" x14ac:dyDescent="0.35">
      <c r="A4" s="29"/>
      <c r="B4" s="29"/>
      <c r="C4" s="338" t="s">
        <v>89</v>
      </c>
      <c r="D4" s="339"/>
      <c r="E4" s="30" t="s">
        <v>90</v>
      </c>
      <c r="F4" s="34" t="s">
        <v>91</v>
      </c>
      <c r="G4" s="35" t="s">
        <v>92</v>
      </c>
      <c r="H4" s="36"/>
      <c r="I4" s="29"/>
      <c r="J4" s="24"/>
      <c r="K4" s="24"/>
      <c r="L4" s="24"/>
    </row>
    <row r="5" spans="1:12" x14ac:dyDescent="0.3">
      <c r="A5" s="329"/>
      <c r="B5" s="329"/>
      <c r="C5" s="329"/>
      <c r="D5" s="37" t="s">
        <v>74</v>
      </c>
      <c r="E5" s="29"/>
      <c r="F5" s="29"/>
      <c r="G5" s="29"/>
      <c r="H5" s="330"/>
      <c r="I5" s="330"/>
      <c r="J5" s="23"/>
      <c r="K5" s="23"/>
      <c r="L5" s="23"/>
    </row>
    <row r="6" spans="1:12" ht="24" customHeight="1" x14ac:dyDescent="0.3">
      <c r="A6" s="329"/>
      <c r="B6" s="336"/>
      <c r="C6" s="38"/>
      <c r="D6" s="39" t="s">
        <v>98</v>
      </c>
      <c r="E6" s="39">
        <v>20201</v>
      </c>
      <c r="F6" s="40" t="s">
        <v>20</v>
      </c>
      <c r="G6" s="41" t="s">
        <v>29</v>
      </c>
      <c r="H6" s="337"/>
      <c r="I6" s="330"/>
      <c r="J6" s="23"/>
      <c r="K6" s="23"/>
      <c r="L6" s="23"/>
    </row>
    <row r="7" spans="1:12" ht="24" customHeight="1" x14ac:dyDescent="0.3">
      <c r="A7" s="28"/>
      <c r="B7" s="108"/>
      <c r="C7" s="38"/>
      <c r="D7" s="39" t="s">
        <v>100</v>
      </c>
      <c r="E7" s="39">
        <v>33000</v>
      </c>
      <c r="F7" s="40" t="s">
        <v>20</v>
      </c>
      <c r="G7" s="41" t="s">
        <v>30</v>
      </c>
      <c r="H7" s="109"/>
      <c r="I7" s="55"/>
      <c r="J7" s="23"/>
      <c r="K7" s="23"/>
      <c r="L7" s="23"/>
    </row>
    <row r="8" spans="1:12" ht="24" customHeight="1" x14ac:dyDescent="0.3">
      <c r="A8" s="28"/>
      <c r="B8" s="108"/>
      <c r="C8" s="38"/>
      <c r="D8" s="39" t="s">
        <v>99</v>
      </c>
      <c r="E8" s="39">
        <v>33002</v>
      </c>
      <c r="F8" s="40" t="s">
        <v>20</v>
      </c>
      <c r="G8" s="41" t="s">
        <v>33</v>
      </c>
      <c r="H8" s="109"/>
      <c r="I8" s="55"/>
      <c r="J8" s="23"/>
      <c r="K8" s="23"/>
      <c r="L8" s="23"/>
    </row>
    <row r="9" spans="1:12" ht="24" customHeight="1" x14ac:dyDescent="0.3">
      <c r="A9" s="28"/>
      <c r="B9" s="108"/>
      <c r="C9" s="38"/>
      <c r="D9" s="39"/>
      <c r="E9" s="39"/>
      <c r="F9" s="40"/>
      <c r="G9" s="41"/>
      <c r="H9" s="109"/>
      <c r="I9" s="55"/>
      <c r="J9" s="23"/>
      <c r="K9" s="23"/>
      <c r="L9" s="23"/>
    </row>
    <row r="10" spans="1:12" x14ac:dyDescent="0.3">
      <c r="A10" s="329"/>
      <c r="B10" s="329"/>
      <c r="C10" s="329"/>
      <c r="D10" s="37" t="s">
        <v>76</v>
      </c>
      <c r="E10" s="29"/>
      <c r="F10" s="29"/>
      <c r="G10" s="29"/>
      <c r="H10" s="330"/>
      <c r="I10" s="330"/>
      <c r="J10" s="23"/>
      <c r="K10" s="23"/>
      <c r="L10" s="23"/>
    </row>
    <row r="11" spans="1:12" ht="24" customHeight="1" x14ac:dyDescent="0.3">
      <c r="A11" s="329"/>
      <c r="B11" s="336"/>
      <c r="C11" s="51"/>
      <c r="D11" s="52" t="s">
        <v>98</v>
      </c>
      <c r="E11" s="52">
        <v>20201</v>
      </c>
      <c r="F11" s="53" t="s">
        <v>20</v>
      </c>
      <c r="G11" s="54" t="s">
        <v>29</v>
      </c>
      <c r="H11" s="337"/>
      <c r="I11" s="330"/>
      <c r="J11" s="23"/>
      <c r="K11" s="23"/>
      <c r="L11" s="23"/>
    </row>
    <row r="12" spans="1:12" ht="24" customHeight="1" x14ac:dyDescent="0.3">
      <c r="A12" s="28"/>
      <c r="B12" s="108"/>
      <c r="C12" s="51"/>
      <c r="D12" s="52" t="s">
        <v>100</v>
      </c>
      <c r="E12" s="52">
        <v>33000</v>
      </c>
      <c r="F12" s="53" t="s">
        <v>20</v>
      </c>
      <c r="G12" s="54" t="s">
        <v>30</v>
      </c>
      <c r="H12" s="109"/>
      <c r="I12" s="55"/>
      <c r="J12" s="23"/>
      <c r="K12" s="23"/>
      <c r="L12" s="23"/>
    </row>
    <row r="13" spans="1:12" ht="24" customHeight="1" x14ac:dyDescent="0.3">
      <c r="A13" s="28"/>
      <c r="B13" s="108"/>
      <c r="C13" s="51"/>
      <c r="D13" s="52" t="s">
        <v>99</v>
      </c>
      <c r="E13" s="52">
        <v>33002</v>
      </c>
      <c r="F13" s="53" t="s">
        <v>20</v>
      </c>
      <c r="G13" s="54" t="s">
        <v>33</v>
      </c>
      <c r="H13" s="109"/>
      <c r="I13" s="55"/>
      <c r="J13" s="23"/>
      <c r="K13" s="23"/>
      <c r="L13" s="23"/>
    </row>
    <row r="14" spans="1:12" ht="24" customHeight="1" x14ac:dyDescent="0.3">
      <c r="A14" s="28"/>
      <c r="B14" s="108"/>
      <c r="C14" s="51"/>
      <c r="D14" s="52"/>
      <c r="E14" s="52"/>
      <c r="F14" s="53"/>
      <c r="G14" s="54"/>
      <c r="H14" s="109"/>
      <c r="I14" s="55"/>
      <c r="J14" s="23"/>
      <c r="K14" s="23"/>
      <c r="L14" s="23"/>
    </row>
    <row r="15" spans="1:12" ht="24" customHeight="1" thickBot="1" x14ac:dyDescent="0.35">
      <c r="A15" s="28"/>
      <c r="B15" s="28"/>
      <c r="C15" s="45"/>
      <c r="D15" s="45"/>
      <c r="E15" s="45"/>
      <c r="F15" s="45"/>
      <c r="G15" s="45"/>
      <c r="H15" s="55"/>
      <c r="I15" s="55"/>
      <c r="J15" s="23"/>
      <c r="K15" s="23"/>
      <c r="L15" s="23"/>
    </row>
    <row r="16" spans="1:12" ht="15" customHeight="1" thickBot="1" x14ac:dyDescent="0.35">
      <c r="A16" s="28"/>
      <c r="B16" s="28"/>
      <c r="C16" s="334" t="s">
        <v>93</v>
      </c>
      <c r="D16" s="335"/>
      <c r="E16" s="42" t="s">
        <v>72</v>
      </c>
      <c r="F16" s="43"/>
      <c r="G16" s="45"/>
      <c r="H16" s="55"/>
      <c r="I16" s="55"/>
      <c r="J16" s="23"/>
      <c r="K16" s="23"/>
      <c r="L16" s="23"/>
    </row>
    <row r="17" spans="1:12" ht="15" customHeight="1" x14ac:dyDescent="0.3">
      <c r="A17" s="28"/>
      <c r="B17" s="28"/>
      <c r="C17" s="332" t="s">
        <v>47</v>
      </c>
      <c r="D17" s="333"/>
      <c r="E17" s="28" t="s">
        <v>98</v>
      </c>
      <c r="F17" s="44"/>
      <c r="G17" s="45"/>
      <c r="H17" s="55"/>
      <c r="I17" s="55"/>
      <c r="J17" s="23"/>
      <c r="K17" s="23"/>
      <c r="L17" s="23"/>
    </row>
    <row r="18" spans="1:12" ht="15" customHeight="1" x14ac:dyDescent="0.3">
      <c r="A18" s="329"/>
      <c r="B18" s="331"/>
      <c r="C18" s="332" t="str">
        <f ca="1">IF($F$2&lt;=OCGR!$Q$4,IF(E18=OCGR!$J$41,"Sobreaviso (Laranja)",IF(E18=OCGR!$J$40,"Sobreaviso (Vermelho)","A serviço")),IF(E18=OCGR!$K$41,"Sobreaviso (Laranja)",IF(E18=OCGR!$K$40,"Sobreaviso (Vermelho)","A serviço")))</f>
        <v>Sobreaviso (Laranja)</v>
      </c>
      <c r="D18" s="333"/>
      <c r="E18" s="112" t="s">
        <v>101</v>
      </c>
      <c r="F18" s="46"/>
      <c r="G18" s="45"/>
      <c r="H18" s="330"/>
      <c r="I18" s="330"/>
      <c r="J18" s="23"/>
      <c r="K18" s="23"/>
      <c r="L18" s="23"/>
    </row>
    <row r="19" spans="1:12" ht="15" customHeight="1" x14ac:dyDescent="0.3">
      <c r="A19" s="329"/>
      <c r="B19" s="331"/>
      <c r="C19" s="332" t="str">
        <f ca="1">IF($F$2&lt;=OCGR!$Q$4,IF(E19=OCGR!$J$41,"Sobreaviso (Laranja)",IF(E19=OCGR!$J$40,"Sobreaviso (Vermelho)","A serviço")),IF(E19=OCGR!$K$41,"Sobreaviso (Laranja)",IF(E19=OCGR!$K$40,"Sobreaviso (Vermelho)","A serviço")))</f>
        <v>A serviço</v>
      </c>
      <c r="D19" s="333"/>
      <c r="E19" s="114" t="s">
        <v>100</v>
      </c>
      <c r="F19" s="47"/>
      <c r="G19" s="45"/>
      <c r="H19" s="330"/>
      <c r="I19" s="330"/>
      <c r="J19" s="23"/>
      <c r="K19" s="23"/>
      <c r="L19" s="23"/>
    </row>
    <row r="20" spans="1:12" ht="15" customHeight="1" x14ac:dyDescent="0.3">
      <c r="A20" s="329"/>
      <c r="B20" s="331"/>
      <c r="C20" s="332" t="str">
        <f ca="1">IF($F$2&lt;=OCGR!$Q$4,IF(E20=OCGR!$J$41,"Sobreaviso (Laranja)",IF(E20=OCGR!$J$40,"Sobreaviso (Vermelho)","A serviço")),IF(E20=OCGR!$K$41,"Sobreaviso (Laranja)",IF(E20=OCGR!$K$40,"Sobreaviso (Vermelho)","A serviço")))</f>
        <v>Sobreaviso (Vermelho)</v>
      </c>
      <c r="D20" s="333"/>
      <c r="E20" s="110" t="s">
        <v>99</v>
      </c>
      <c r="F20" s="111"/>
      <c r="G20" s="45"/>
      <c r="H20" s="330"/>
      <c r="I20" s="330"/>
      <c r="J20" s="23"/>
      <c r="K20" s="23"/>
      <c r="L20" s="23"/>
    </row>
    <row r="21" spans="1:12" x14ac:dyDescent="0.3">
      <c r="A21" s="28"/>
      <c r="B21" s="28"/>
      <c r="C21" s="332" t="str">
        <f ca="1">IF($F$2&lt;=OCGR!$Q$4,IF(E21=OCGR!$J$41,"Sobreaviso (Laranja)",IF(E21=OCGR!$J$40,"Sobreaviso (Vermelho)","A serviço")),IF(E21=OCGR!$K$41,"Sobreaviso (Laranja)",IF(E21=OCGR!$K$40,"Sobreaviso (Vermelho)","A serviço")))</f>
        <v>A serviço</v>
      </c>
      <c r="D21" s="333"/>
      <c r="E21" s="112" t="s">
        <v>105</v>
      </c>
      <c r="F21" s="113"/>
      <c r="G21" s="45"/>
      <c r="H21" s="330"/>
      <c r="I21" s="330"/>
      <c r="J21" s="23"/>
      <c r="K21" s="23"/>
      <c r="L21" s="23"/>
    </row>
    <row r="22" spans="1:12" x14ac:dyDescent="0.3">
      <c r="A22" s="28"/>
      <c r="B22" s="28"/>
      <c r="C22" s="329"/>
      <c r="D22" s="329"/>
      <c r="E22" s="28"/>
      <c r="F22" s="28"/>
      <c r="G22" s="29"/>
      <c r="H22" s="48"/>
      <c r="I22" s="49"/>
      <c r="J22" s="23"/>
      <c r="K22" s="23"/>
      <c r="L22" s="23"/>
    </row>
    <row r="23" spans="1:12" x14ac:dyDescent="0.3">
      <c r="A23" s="28"/>
      <c r="B23" s="28"/>
      <c r="C23" s="329"/>
      <c r="D23" s="329"/>
      <c r="E23" s="28"/>
      <c r="F23" s="28"/>
      <c r="G23" s="29"/>
      <c r="H23" s="48"/>
      <c r="I23" s="50"/>
      <c r="J23" s="23"/>
      <c r="K23" s="23"/>
      <c r="L23" s="23"/>
    </row>
    <row r="24" spans="1:12" x14ac:dyDescent="0.3">
      <c r="A24" s="28"/>
      <c r="B24" s="28"/>
      <c r="C24" s="329"/>
      <c r="D24" s="329"/>
      <c r="E24" s="28"/>
      <c r="F24" s="28"/>
      <c r="G24" s="29"/>
      <c r="H24" s="48"/>
      <c r="I24" s="50"/>
      <c r="J24" s="23"/>
      <c r="K24" s="23"/>
      <c r="L24" s="23"/>
    </row>
    <row r="25" spans="1:12" x14ac:dyDescent="0.3">
      <c r="A25" s="28"/>
      <c r="B25" s="28"/>
      <c r="C25" s="329"/>
      <c r="D25" s="329"/>
      <c r="E25" s="28"/>
      <c r="F25" s="28"/>
      <c r="G25" s="29"/>
      <c r="H25" s="48"/>
      <c r="I25" s="50"/>
    </row>
    <row r="26" spans="1:12" x14ac:dyDescent="0.3">
      <c r="A26" s="28"/>
      <c r="B26" s="28"/>
      <c r="C26" s="329"/>
      <c r="D26" s="329"/>
      <c r="E26" s="28"/>
      <c r="F26" s="28"/>
      <c r="G26" s="29"/>
      <c r="H26" s="48"/>
      <c r="I26" s="50"/>
    </row>
    <row r="27" spans="1:12" x14ac:dyDescent="0.3">
      <c r="A27" s="23"/>
      <c r="B27" s="23"/>
      <c r="G27" s="24"/>
      <c r="H27" s="26"/>
    </row>
    <row r="28" spans="1:12" x14ac:dyDescent="0.3">
      <c r="A28" s="23"/>
      <c r="B28" s="25" t="str">
        <f>C28</f>
        <v>Tom 1</v>
      </c>
      <c r="C28" s="25" t="str">
        <f>E17</f>
        <v>Tom 1</v>
      </c>
      <c r="G28" s="24"/>
      <c r="H28" s="26"/>
    </row>
    <row r="29" spans="1:12" x14ac:dyDescent="0.3">
      <c r="A29" s="23"/>
      <c r="B29" s="25" t="str">
        <f t="shared" ref="B29:B31" si="0">E18</f>
        <v>Tom 2</v>
      </c>
      <c r="C29" s="25" t="str">
        <f t="shared" ref="C29:C31" si="1">E18</f>
        <v>Tom 2</v>
      </c>
      <c r="G29" s="24"/>
      <c r="H29" s="26"/>
    </row>
    <row r="30" spans="1:12" x14ac:dyDescent="0.3">
      <c r="A30" s="23"/>
      <c r="B30" s="25" t="str">
        <f t="shared" si="0"/>
        <v>Tom 3</v>
      </c>
      <c r="C30" s="25" t="str">
        <f t="shared" si="1"/>
        <v>Tom 3</v>
      </c>
      <c r="G30" s="24"/>
      <c r="H30" s="26"/>
    </row>
    <row r="31" spans="1:12" x14ac:dyDescent="0.3">
      <c r="A31" s="23"/>
      <c r="B31" s="25" t="str">
        <f t="shared" si="0"/>
        <v>Tom 4</v>
      </c>
      <c r="C31" s="25" t="str">
        <f t="shared" si="1"/>
        <v>Tom 4</v>
      </c>
      <c r="G31" s="24"/>
      <c r="H31" s="26"/>
    </row>
    <row r="32" spans="1:12" x14ac:dyDescent="0.3">
      <c r="A32" s="23"/>
      <c r="B32" s="23" t="str">
        <f>E21</f>
        <v>Tom 5</v>
      </c>
      <c r="C32" s="22" t="str">
        <f>B32</f>
        <v>Tom 5</v>
      </c>
      <c r="G32" s="24"/>
      <c r="H32" s="26"/>
    </row>
    <row r="33" spans="1:8" x14ac:dyDescent="0.3">
      <c r="A33" s="23"/>
      <c r="B33" s="23"/>
      <c r="G33" s="24"/>
      <c r="H33" s="26"/>
    </row>
    <row r="34" spans="1:8" x14ac:dyDescent="0.3">
      <c r="A34" s="23"/>
      <c r="B34" s="23"/>
      <c r="G34" s="24"/>
      <c r="H34" s="26"/>
    </row>
    <row r="35" spans="1:8" x14ac:dyDescent="0.3">
      <c r="A35" s="23"/>
      <c r="B35" s="23"/>
      <c r="G35" s="24"/>
      <c r="H35" s="26"/>
    </row>
    <row r="46" spans="1:8" x14ac:dyDescent="0.3">
      <c r="E46" s="20"/>
    </row>
  </sheetData>
  <mergeCells count="34">
    <mergeCell ref="A1:C1"/>
    <mergeCell ref="H1:I1"/>
    <mergeCell ref="A2:B2"/>
    <mergeCell ref="C2:D2"/>
    <mergeCell ref="H2:I2"/>
    <mergeCell ref="A10:C10"/>
    <mergeCell ref="H10:I10"/>
    <mergeCell ref="A11:B11"/>
    <mergeCell ref="H11:I11"/>
    <mergeCell ref="H3:I3"/>
    <mergeCell ref="C4:D4"/>
    <mergeCell ref="A5:C5"/>
    <mergeCell ref="H5:I5"/>
    <mergeCell ref="A6:B6"/>
    <mergeCell ref="H6:I6"/>
    <mergeCell ref="A3:C3"/>
    <mergeCell ref="A18:B18"/>
    <mergeCell ref="C18:D18"/>
    <mergeCell ref="H18:I18"/>
    <mergeCell ref="C16:D16"/>
    <mergeCell ref="C17:D17"/>
    <mergeCell ref="H19:I19"/>
    <mergeCell ref="A20:B20"/>
    <mergeCell ref="C20:D20"/>
    <mergeCell ref="H20:I20"/>
    <mergeCell ref="H21:I21"/>
    <mergeCell ref="A19:B19"/>
    <mergeCell ref="C19:D19"/>
    <mergeCell ref="C21:D21"/>
    <mergeCell ref="C22:D22"/>
    <mergeCell ref="C23:D23"/>
    <mergeCell ref="C24:D24"/>
    <mergeCell ref="C25:D25"/>
    <mergeCell ref="C26:D26"/>
  </mergeCells>
  <conditionalFormatting sqref="C17:D21">
    <cfRule type="containsText" dxfId="5" priority="1" operator="containsText" text="Ferias">
      <formula>NOT(ISERROR(SEARCH("Ferias",C17)))</formula>
    </cfRule>
    <cfRule type="containsText" dxfId="4" priority="3" operator="containsText" text="Ausente">
      <formula>NOT(ISERROR(SEARCH("Ausente",C17)))</formula>
    </cfRule>
    <cfRule type="containsText" dxfId="3" priority="4" operator="containsText" text="Folga">
      <formula>NOT(ISERROR(SEARCH("Folga",C17)))</formula>
    </cfRule>
    <cfRule type="containsText" dxfId="2" priority="5" operator="containsText" text="Vermelho">
      <formula>NOT(ISERROR(SEARCH("Vermelho",C17)))</formula>
    </cfRule>
    <cfRule type="containsText" dxfId="1" priority="6" operator="containsText" text="Laranja">
      <formula>NOT(ISERROR(SEARCH("Laranja",C17)))</formula>
    </cfRule>
  </conditionalFormatting>
  <conditionalFormatting sqref="A6:G14">
    <cfRule type="containsText" dxfId="0" priority="2" operator="containsText" text="Todos">
      <formula>NOT(ISERROR(SEARCH("Todos",A6)))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31552DBED932B45BD1D10FA0D1CE0AE" ma:contentTypeVersion="21" ma:contentTypeDescription="Crie um novo documento." ma:contentTypeScope="" ma:versionID="7375a5e558556384dab55c7074501215">
  <xsd:schema xmlns:xsd="http://www.w3.org/2001/XMLSchema" xmlns:xs="http://www.w3.org/2001/XMLSchema" xmlns:p="http://schemas.microsoft.com/office/2006/metadata/properties" xmlns:ns1="http://schemas.microsoft.com/sharepoint/v3" xmlns:ns2="3bcd2930-aca5-46bc-8e63-d78d573a274c" xmlns:ns3="2b345a69-6bf5-4049-94dc-bc7e53cbf07c" targetNamespace="http://schemas.microsoft.com/office/2006/metadata/properties" ma:root="true" ma:fieldsID="4d8a115963b570d6c64e61f403444422" ns1:_="" ns2:_="" ns3:_="">
    <xsd:import namespace="http://schemas.microsoft.com/sharepoint/v3"/>
    <xsd:import namespace="3bcd2930-aca5-46bc-8e63-d78d573a274c"/>
    <xsd:import namespace="2b345a69-6bf5-4049-94dc-bc7e53cbf07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Ação de Interface do Usuário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cd2930-aca5-46bc-8e63-d78d573a274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09d13569-7e49-4428-a27d-1872c92fe087}" ma:internalName="TaxCatchAll" ma:showField="CatchAllData" ma:web="3bcd2930-aca5-46bc-8e63-d78d573a27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345a69-6bf5-4049-94dc-bc7e53cbf0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Marcações de imagem" ma:readOnly="false" ma:fieldId="{5cf76f15-5ced-4ddc-b409-7134ff3c332f}" ma:taxonomyMulti="true" ma:sspId="cc9743c2-9aec-45ea-813c-d60aeea926c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2b345a69-6bf5-4049-94dc-bc7e53cbf07c">
      <Terms xmlns="http://schemas.microsoft.com/office/infopath/2007/PartnerControls"/>
    </lcf76f155ced4ddcb4097134ff3c332f>
    <TaxCatchAll xmlns="3bcd2930-aca5-46bc-8e63-d78d573a274c" xsi:nil="true"/>
  </documentManagement>
</p:properties>
</file>

<file path=customXml/itemProps1.xml><?xml version="1.0" encoding="utf-8"?>
<ds:datastoreItem xmlns:ds="http://schemas.openxmlformats.org/officeDocument/2006/customXml" ds:itemID="{1B7DF282-B019-4112-8D2B-B4905A00DC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bcd2930-aca5-46bc-8e63-d78d573a274c"/>
    <ds:schemaRef ds:uri="2b345a69-6bf5-4049-94dc-bc7e53cbf0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2C2FCD3-5E2A-4367-B58F-BAB9526F905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D34225-9C13-443E-937E-556700D5179E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2b345a69-6bf5-4049-94dc-bc7e53cbf07c"/>
    <ds:schemaRef ds:uri="3bcd2930-aca5-46bc-8e63-d78d573a274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OCGR</vt:lpstr>
      <vt:lpstr>SEMANAL</vt:lpstr>
      <vt:lpstr>OCGR - DIÁRIA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 Chagas (GEOP)</dc:creator>
  <cp:keywords/>
  <dc:description/>
  <cp:lastModifiedBy>João Alencar</cp:lastModifiedBy>
  <cp:revision/>
  <dcterms:created xsi:type="dcterms:W3CDTF">2024-01-18T17:38:08Z</dcterms:created>
  <dcterms:modified xsi:type="dcterms:W3CDTF">2026-05-10T16:14:00Z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f802ee-8771-48ba-8105-91190fd9a402_Enabled">
    <vt:lpwstr>true</vt:lpwstr>
  </property>
  <property fmtid="{D5CDD505-2E9C-101B-9397-08002B2CF9AE}" pid="3" name="MSIP_Label_d3f802ee-8771-48ba-8105-91190fd9a402_SetDate">
    <vt:lpwstr>2024-01-18T17:38:15Z</vt:lpwstr>
  </property>
  <property fmtid="{D5CDD505-2E9C-101B-9397-08002B2CF9AE}" pid="4" name="MSIP_Label_d3f802ee-8771-48ba-8105-91190fd9a402_Method">
    <vt:lpwstr>Standard</vt:lpwstr>
  </property>
  <property fmtid="{D5CDD505-2E9C-101B-9397-08002B2CF9AE}" pid="5" name="MSIP_Label_d3f802ee-8771-48ba-8105-91190fd9a402_Name">
    <vt:lpwstr>CORPORATIVA</vt:lpwstr>
  </property>
  <property fmtid="{D5CDD505-2E9C-101B-9397-08002B2CF9AE}" pid="6" name="MSIP_Label_d3f802ee-8771-48ba-8105-91190fd9a402_SiteId">
    <vt:lpwstr>e0830c2d-1ee4-44f7-ab65-9356c68683c6</vt:lpwstr>
  </property>
  <property fmtid="{D5CDD505-2E9C-101B-9397-08002B2CF9AE}" pid="7" name="MSIP_Label_d3f802ee-8771-48ba-8105-91190fd9a402_ActionId">
    <vt:lpwstr>53005cef-7782-4428-8a41-0ef652d879f4</vt:lpwstr>
  </property>
  <property fmtid="{D5CDD505-2E9C-101B-9397-08002B2CF9AE}" pid="8" name="MSIP_Label_d3f802ee-8771-48ba-8105-91190fd9a402_ContentBits">
    <vt:lpwstr>2</vt:lpwstr>
  </property>
  <property fmtid="{D5CDD505-2E9C-101B-9397-08002B2CF9AE}" pid="9" name="MediaServiceImageTags">
    <vt:lpwstr/>
  </property>
  <property fmtid="{D5CDD505-2E9C-101B-9397-08002B2CF9AE}" pid="10" name="ContentTypeId">
    <vt:lpwstr>0x010100831552DBED932B45BD1D10FA0D1CE0AE</vt:lpwstr>
  </property>
</Properties>
</file>